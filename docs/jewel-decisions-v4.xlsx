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27" documentId="11_0B1B3BD492913139DA85062BDE9D020C2561B0CF" xr6:coauthVersionLast="47" xr6:coauthVersionMax="47" xr10:uidLastSave="{F7845B24-4DBC-494E-9072-867091B66407}"/>
  <bookViews>
    <workbookView xWindow="0" yWindow="0" windowWidth="0" windowHeight="0" xr2:uid="{00000000-000D-0000-FFFF-FFFF00000000}"/>
  </bookViews>
  <sheets>
    <sheet name="判断表" sheetId="1" r:id="rId1"/>
    <sheet name="カラット設計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F25" i="2"/>
  <c r="F24" i="2"/>
  <c r="F23" i="2"/>
  <c r="F22" i="2"/>
  <c r="F21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E4" i="1"/>
</calcChain>
</file>

<file path=xl/sharedStrings.xml><?xml version="1.0" encoding="utf-8"?>
<sst xmlns="http://schemas.openxmlformats.org/spreadsheetml/2006/main" count="163" uniqueCount="125">
  <si>
    <t>TAMOR｜実装計画04 人間の判断表</t>
  </si>
  <si>
    <t>2026-09-21｜黄色の回答欄に記入。推奨案は未承認です。「記入済み」は採用確定を意味しません。</t>
  </si>
  <si>
    <t>指定済み：0.1〜20ct、拡大・内部・原子表示廃止、複数個体の所持。最優先の項目からご回答ください。</t>
  </si>
  <si>
    <t>未回答の件数 →</t>
  </si>
  <si>
    <t>件 / 24件</t>
  </si>
  <si>
    <t>ID</t>
  </si>
  <si>
    <t>優先度</t>
  </si>
  <si>
    <t>決める項目</t>
  </si>
  <si>
    <t>推奨案・注意点</t>
  </si>
  <si>
    <t>回答（人間が記入）</t>
  </si>
  <si>
    <t>記入状態</t>
  </si>
  <si>
    <t>D01</t>
  </si>
  <si>
    <t>最優先</t>
  </si>
  <si>
    <t>初回公開の範囲</t>
  </si>
  <si>
    <t>World 1・4種・宝石箱・Crusher・買い切り解放を優先。World 2の実プレイは次回。</t>
  </si>
  <si>
    <t>D02</t>
  </si>
  <si>
    <t>無料の上限</t>
  </si>
  <si>
    <t>3.00ctまで。深度1〜3は無料、深度4〜6はWorld 1解放が必要。</t>
  </si>
  <si>
    <t>D03</t>
  </si>
  <si>
    <t>課金方式・価格</t>
  </si>
  <si>
    <t>World 1の深度解放を非消耗型の買い切り商品にする。日本円の希望価格を記入。</t>
  </si>
  <si>
    <t>400円の買い切り</t>
  </si>
  <si>
    <t>D04</t>
  </si>
  <si>
    <t>大きさの決め方</t>
  </si>
  <si>
    <t>初回は技能評価による固定報酬。ランダム抽選なし。深度6のS評価3連続で20.00ct。</t>
  </si>
  <si>
    <t>D05</t>
  </si>
  <si>
    <t>World 1のゲーム対応</t>
  </si>
  <si>
    <t>ルビー=Glass Trace、サファイア=クルクル、ダイヤ=Glass Break、黒曜石=Crusher。</t>
  </si>
  <si>
    <t>D06</t>
  </si>
  <si>
    <t>旧宝石の扱い</t>
  </si>
  <si>
    <t>オニキスとエメラルドは旧コレクションに保存。サファイア・黒曜石へ改名しない。</t>
  </si>
  <si>
    <t>D07</t>
  </si>
  <si>
    <t>旧サイズの換算</t>
  </si>
  <si>
    <t>旧倍率の3乗をctとする暫定案：1→1.00ct、1.8→5.83ct。換算後も所持品を保護。</t>
  </si>
  <si>
    <t>D08</t>
  </si>
  <si>
    <t>優先</t>
  </si>
  <si>
    <t>画面上の大きさ</t>
  </si>
  <si>
    <t>幅375ptの画面で1ct=17pt、幅はctの立方根に比例。種別を問わず共通のゲーム尺度。</t>
  </si>
  <si>
    <t>D09</t>
  </si>
  <si>
    <t>拡大廃止後の操作</t>
  </si>
  <si>
    <t>1タップ=大きさを変えず情報パネル、ダブルタップ=ゲーム。独立のプレイボタンも置く。</t>
  </si>
  <si>
    <t>D10</t>
  </si>
  <si>
    <t>小さい宝石の一覧</t>
  </si>
  <si>
    <t>種類別の宝石箱。実寸比を保つ一覧、個数・最大ct・合計ct、入手順/ct順の切替。</t>
  </si>
  <si>
    <t>D11</t>
  </si>
  <si>
    <t>代表宝石の選び方</t>
  </si>
  <si>
    <t>各種類の最大ctを自動表示。同値なら最初に入手した個体。手動固定は次回以降。</t>
  </si>
  <si>
    <t>D12</t>
  </si>
  <si>
    <t>Crusherの基本ルール</t>
  </si>
  <si>
    <t>全表面を3回タップで破壊。5枚で1報酬、次のガラスが自動出現。対象は黒曜石。</t>
  </si>
  <si>
    <t>D13</t>
  </si>
  <si>
    <t>Crusherの難度</t>
  </si>
  <si>
    <t>5枚の合計操作時間でB/A/S評価。深度1〜6の基準は60/30/15/7.5/4.5/3秒。要実機調整。</t>
  </si>
  <si>
    <t>D14</t>
  </si>
  <si>
    <t>Crusherの失敗・退出</t>
  </si>
  <si>
    <t>各枚の期限切れで当該5枚の進行をリセットし続行。退出時の未完報酬なし。確定済みは保持。</t>
  </si>
  <si>
    <t>D15</t>
  </si>
  <si>
    <t>難易度の解放条件</t>
  </si>
  <si>
    <t>同じ宝石の前深度を1回クリアで次へ。深度4以上は購入権利も必要。S3連続は宝石別に記録。</t>
  </si>
  <si>
    <t>D16</t>
  </si>
  <si>
    <t>表示する枠</t>
  </si>
  <si>
    <t>各Worldに12固定枠。World 1の初期対象は4種。未追加8枠は将来枠で収集率の分母に入れない。</t>
  </si>
  <si>
    <t>D17</t>
  </si>
  <si>
    <t>次回可</t>
  </si>
  <si>
    <t>World 2の内容と価格</t>
  </si>
  <si>
    <t>真珠・オパールを核に別リング。全種類・ゲーム対応・開放条件・別売りの有無を決める。</t>
  </si>
  <si>
    <t>真珠・オパールを核に別リングにするが今は実装しない。World 2は「Coming soon」表示にして存在だけ知らせる。</t>
  </si>
  <si>
    <t>D18</t>
  </si>
  <si>
    <t>初回のデータ引継ぎ</t>
  </si>
  <si>
    <t>初回は端末内保存。購入復元と宝石の復元は別。クラウド未提供を明示してよいか。</t>
  </si>
  <si>
    <t>購入・購入復元はRevenewCatの機能を使う。宝石復元はAppleのCloudKitを使いたい。</t>
  </si>
  <si>
    <t>D19</t>
  </si>
  <si>
    <t>体力・サブスク</t>
  </si>
  <si>
    <t>初回は入れず、無料で何度でも遊べる。World 1買い切りに絞る。過去計画から変更。</t>
  </si>
  <si>
    <t>D20</t>
  </si>
  <si>
    <t>リングのRT設定</t>
  </si>
  <si>
    <t>既存のRT設定をリング選択中の1個に適用。非対応端末は通常屈折描画。観察画面依存を除去。</t>
  </si>
  <si>
    <t>D21</t>
  </si>
  <si>
    <t>出品準備状況</t>
  </si>
  <si>
    <t>Apple有料契約・税務/銀行、App Storeアプリ登録、RevenueCatプロジェクトの準備状況を記入。</t>
  </si>
  <si>
    <t>既に「はたらきろく」という課金・税務・銀行の問題をクリアしAppleのApp Storeに公開済みの環境がある。</t>
  </si>
  <si>
    <t>D22</t>
  </si>
  <si>
    <t>Shipaton参加資格</t>
  </si>
  <si>
    <t>過去のストア公開日（未公開なら未公開）、米国配信可否、素材の権利、参加者情報を確認。</t>
  </si>
  <si>
    <t>米国配信可否、素材の権利、参加者情報を確認。</t>
  </si>
  <si>
    <t>D23</t>
  </si>
  <si>
    <t>販売・審査用情報</t>
  </si>
  <si>
    <t>正式表示名、サポート/プライバシーURL、連絡先、英語紹介、年齢区分回答の担当を決める。</t>
  </si>
  <si>
    <t>名称は Tamor サポートプライバシーURLなどは別途用意する。</t>
  </si>
  <si>
    <t>D24</t>
  </si>
  <si>
    <t>公開タイミング</t>
  </si>
  <si>
    <t>審査とIAPの承認後に公開。日本時間10/1 15:45の応募期限より前に米国からの取得を確認。</t>
  </si>
  <si>
    <t>２０２６年９月２１日に公開申請をしたい。</t>
  </si>
  <si>
    <t>出典：ユーザーの2026-09-21の依頼と現行tamorコード。推奨数値は設計案。詳細・外部要件の根拠は同梱HTMLを参照。</t>
  </si>
  <si>
    <t>TAMOR｜カラットと画面サイズの検討</t>
  </si>
  <si>
    <t>同じ尺度で比較するゲーム用の寸法です。鉱物の密度やカットに基づく実物mmの再現ではありません。</t>
  </si>
  <si>
    <t>1ctの幅（pt）</t>
  </si>
  <si>
    <t>基準画面幅（pt）</t>
  </si>
  <si>
    <t>重量 ct</t>
  </si>
  <si>
    <t>画面上の幅 pt</t>
  </si>
  <si>
    <t>質量 g</t>
  </si>
  <si>
    <t>0.1ctとの幅比</t>
  </si>
  <si>
    <t>補足</t>
  </si>
  <si>
    <t>最小値（指定済み）</t>
  </si>
  <si>
    <t>基準重量</t>
  </si>
  <si>
    <t>無料上限案（D02）</t>
  </si>
  <si>
    <t>最大値（指定済み）</t>
  </si>
  <si>
    <t>カラットは重量。1ct＝0.2g（GIA） https://4cs.gia.edu/en-us/diamond-carat-weight/</t>
  </si>
  <si>
    <t>幅＝1ctの幅×ct^(1/3)。表はD4の基準画面での値。他画面ではリング全体に「実際の幅÷基準幅」を掛けます。</t>
  </si>
  <si>
    <t>深度別の報酬・Crusher初期値（未調整の案）</t>
  </si>
  <si>
    <t>深度</t>
  </si>
  <si>
    <t>B報酬 ct</t>
  </si>
  <si>
    <t>A報酬 ct</t>
  </si>
  <si>
    <t>S上限 ct</t>
  </si>
  <si>
    <t>5枚基準 秒</t>
  </si>
  <si>
    <t>S評価 秒</t>
  </si>
  <si>
    <t>1 浅層</t>
  </si>
  <si>
    <t>2 中層</t>
  </si>
  <si>
    <t>3 深層</t>
  </si>
  <si>
    <t>4 鉱脈</t>
  </si>
  <si>
    <t>5 核心</t>
  </si>
  <si>
    <t>6 最深部</t>
  </si>
  <si>
    <t>深度6のS：最初の2回は19.99ct、3連続達成で20.00ct。表のS上限は最終到達値。</t>
  </si>
  <si>
    <t>Crusherは3打/枚、5枚/報酬。各枚の期限＝5枚基準÷5。A評価は合計基準の75%以内。</t>
  </si>
  <si>
    <t>数値を変更してもアプリへ自動反映しません。判断表の回答を確認してから実装用ルールへ転記します。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</si>
</sst>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Yu Gothic"/>
    </font>
    <font>
      <b/>
      <sz val="11"/>
      <color rgb="FFFFFFFF"/>
      <name val="Yu Gothic"/>
    </font>
    <font>
      <sz val="11"/>
      <color rgb="FF536577"/>
      <name val="Yu Gothic"/>
    </font>
    <font>
      <sz val="11"/>
      <color rgb="FF1649A0"/>
      <name val="Yu Gothic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84B"/>
      </patternFill>
    </fill>
    <fill>
      <patternFill patternType="solid">
        <fgColor rgb="FFF0F5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4" fillId="4" borderId="0" xfId="1" applyFont="1" applyFill="1" applyAlignment="1">
      <alignment vertical="center" wrapText="1"/>
    </xf>
    <xf numFmtId="2" fontId="4" fillId="4" borderId="0" xfId="1" applyNumberFormat="1" applyFont="1" applyFill="1" applyAlignment="1">
      <alignment vertical="center" wrapText="1"/>
    </xf>
    <xf numFmtId="2" fontId="1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1">
    <dxf>
      <font>
        <color rgb="FF21663A"/>
      </font>
      <fill>
        <patternFill patternType="solid">
          <bgColor rgb="FFDDF0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84B"/>
  </sheetPr>
  <dimension ref="A1:F42"/>
  <sheetViews>
    <sheetView showGridLines="0" tabSelected="1" workbookViewId="0">
      <pane ySplit="6" topLeftCell="A21" activePane="bottomLeft" state="frozen"/>
      <selection pane="bottomLeft" activeCell="E31" sqref="E31"/>
    </sheetView>
  </sheetViews>
  <sheetFormatPr defaultRowHeight="15"/>
  <cols>
    <col min="1" max="1" width="7.25" customWidth="1"/>
    <col min="2" max="2" width="8.375" customWidth="1"/>
    <col min="3" max="3" width="19.5" customWidth="1"/>
    <col min="4" max="4" width="42.25" customWidth="1"/>
    <col min="5" max="5" width="32.25" customWidth="1"/>
    <col min="6" max="6" width="10" customWidth="1"/>
  </cols>
  <sheetData>
    <row r="1" spans="1:6" ht="33.950000000000003" customHeight="1">
      <c r="A1" s="7" t="s">
        <v>0</v>
      </c>
      <c r="B1" s="7"/>
      <c r="C1" s="7"/>
      <c r="D1" s="7"/>
      <c r="E1" s="7"/>
      <c r="F1" s="7"/>
    </row>
    <row r="2" spans="1:6" ht="30" customHeight="1">
      <c r="A2" s="8" t="s">
        <v>1</v>
      </c>
      <c r="B2" s="8"/>
      <c r="C2" s="8"/>
      <c r="D2" s="8"/>
      <c r="E2" s="8"/>
      <c r="F2" s="8"/>
    </row>
    <row r="3" spans="1:6" ht="30" customHeight="1">
      <c r="A3" s="8" t="s">
        <v>2</v>
      </c>
      <c r="B3" s="8"/>
      <c r="C3" s="8"/>
      <c r="D3" s="8"/>
      <c r="E3" s="8"/>
      <c r="F3" s="8"/>
    </row>
    <row r="4" spans="1:6">
      <c r="A4" s="9" t="s">
        <v>3</v>
      </c>
      <c r="B4" s="9"/>
      <c r="C4" s="9"/>
      <c r="D4" s="9"/>
      <c r="E4" s="1">
        <f>COUNTBLANK(E7:E30)</f>
        <v>0</v>
      </c>
      <c r="F4" s="1" t="s">
        <v>4</v>
      </c>
    </row>
    <row r="5" spans="1:6">
      <c r="A5" s="1"/>
      <c r="B5" s="1"/>
      <c r="C5" s="1"/>
      <c r="D5" s="1"/>
      <c r="E5" s="1"/>
      <c r="F5" s="1"/>
    </row>
    <row r="6" spans="1:6" ht="27.95" customHeight="1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ht="68.099999999999994" customHeight="1">
      <c r="A7" s="1" t="s">
        <v>11</v>
      </c>
      <c r="B7" s="1" t="s">
        <v>12</v>
      </c>
      <c r="C7" s="1" t="s">
        <v>13</v>
      </c>
      <c r="D7" s="1" t="s">
        <v>14</v>
      </c>
      <c r="E7" s="1" t="s">
        <v>14</v>
      </c>
      <c r="F7" s="1" t="str">
        <f>IF(E7="","未回答","記入済み")</f>
        <v>記入済み</v>
      </c>
    </row>
    <row r="8" spans="1:6" ht="68.099999999999994" customHeight="1">
      <c r="A8" s="3" t="s">
        <v>15</v>
      </c>
      <c r="B8" s="3" t="s">
        <v>12</v>
      </c>
      <c r="C8" s="3" t="s">
        <v>16</v>
      </c>
      <c r="D8" s="3" t="s">
        <v>17</v>
      </c>
      <c r="E8" s="3" t="s">
        <v>17</v>
      </c>
      <c r="F8" s="3" t="str">
        <f>IF(E8="","未回答","記入済み")</f>
        <v>記入済み</v>
      </c>
    </row>
    <row r="9" spans="1:6" ht="68.099999999999994" customHeight="1">
      <c r="A9" s="1" t="s">
        <v>18</v>
      </c>
      <c r="B9" s="1" t="s">
        <v>12</v>
      </c>
      <c r="C9" s="1" t="s">
        <v>19</v>
      </c>
      <c r="D9" s="1" t="s">
        <v>20</v>
      </c>
      <c r="E9" s="4" t="s">
        <v>21</v>
      </c>
      <c r="F9" s="1" t="str">
        <f>IF(E9="","未回答","記入済み")</f>
        <v>記入済み</v>
      </c>
    </row>
    <row r="10" spans="1:6" ht="68.099999999999994" customHeight="1">
      <c r="A10" s="3" t="s">
        <v>22</v>
      </c>
      <c r="B10" s="3" t="s">
        <v>12</v>
      </c>
      <c r="C10" s="3" t="s">
        <v>23</v>
      </c>
      <c r="D10" s="3" t="s">
        <v>24</v>
      </c>
      <c r="E10" s="3" t="s">
        <v>24</v>
      </c>
      <c r="F10" s="3" t="str">
        <f>IF(E10="","未回答","記入済み")</f>
        <v>記入済み</v>
      </c>
    </row>
    <row r="11" spans="1:6" ht="68.099999999999994" customHeight="1">
      <c r="A11" s="1" t="s">
        <v>25</v>
      </c>
      <c r="B11" s="1" t="s">
        <v>12</v>
      </c>
      <c r="C11" s="1" t="s">
        <v>26</v>
      </c>
      <c r="D11" s="1" t="s">
        <v>27</v>
      </c>
      <c r="E11" s="1" t="s">
        <v>27</v>
      </c>
      <c r="F11" s="1" t="str">
        <f>IF(E11="","未回答","記入済み")</f>
        <v>記入済み</v>
      </c>
    </row>
    <row r="12" spans="1:6" ht="68.099999999999994" customHeight="1">
      <c r="A12" s="3" t="s">
        <v>28</v>
      </c>
      <c r="B12" s="3" t="s">
        <v>12</v>
      </c>
      <c r="C12" s="3" t="s">
        <v>29</v>
      </c>
      <c r="D12" s="3" t="s">
        <v>30</v>
      </c>
      <c r="E12" s="3" t="s">
        <v>30</v>
      </c>
      <c r="F12" s="3" t="str">
        <f>IF(E12="","未回答","記入済み")</f>
        <v>記入済み</v>
      </c>
    </row>
    <row r="13" spans="1:6" ht="68.099999999999994" customHeight="1">
      <c r="A13" s="1" t="s">
        <v>31</v>
      </c>
      <c r="B13" s="1" t="s">
        <v>12</v>
      </c>
      <c r="C13" s="1" t="s">
        <v>32</v>
      </c>
      <c r="D13" s="1" t="s">
        <v>33</v>
      </c>
      <c r="E13" s="1" t="s">
        <v>33</v>
      </c>
      <c r="F13" s="1" t="str">
        <f>IF(E13="","未回答","記入済み")</f>
        <v>記入済み</v>
      </c>
    </row>
    <row r="14" spans="1:6" ht="68.099999999999994" customHeight="1">
      <c r="A14" s="3" t="s">
        <v>34</v>
      </c>
      <c r="B14" s="3" t="s">
        <v>35</v>
      </c>
      <c r="C14" s="3" t="s">
        <v>36</v>
      </c>
      <c r="D14" s="3" t="s">
        <v>37</v>
      </c>
      <c r="E14" s="3" t="s">
        <v>37</v>
      </c>
      <c r="F14" s="3" t="str">
        <f>IF(E14="","未回答","記入済み")</f>
        <v>記入済み</v>
      </c>
    </row>
    <row r="15" spans="1:6" ht="68.099999999999994" customHeight="1">
      <c r="A15" s="1" t="s">
        <v>38</v>
      </c>
      <c r="B15" s="1" t="s">
        <v>35</v>
      </c>
      <c r="C15" s="1" t="s">
        <v>39</v>
      </c>
      <c r="D15" s="1" t="s">
        <v>40</v>
      </c>
      <c r="E15" s="1" t="s">
        <v>40</v>
      </c>
      <c r="F15" s="1" t="str">
        <f>IF(E15="","未回答","記入済み")</f>
        <v>記入済み</v>
      </c>
    </row>
    <row r="16" spans="1:6" ht="68.099999999999994" customHeight="1">
      <c r="A16" s="3" t="s">
        <v>41</v>
      </c>
      <c r="B16" s="3" t="s">
        <v>35</v>
      </c>
      <c r="C16" s="3" t="s">
        <v>42</v>
      </c>
      <c r="D16" s="3" t="s">
        <v>43</v>
      </c>
      <c r="E16" s="3" t="s">
        <v>43</v>
      </c>
      <c r="F16" s="3" t="str">
        <f>IF(E16="","未回答","記入済み")</f>
        <v>記入済み</v>
      </c>
    </row>
    <row r="17" spans="1:6" ht="68.099999999999994" customHeight="1">
      <c r="A17" s="1" t="s">
        <v>44</v>
      </c>
      <c r="B17" s="1" t="s">
        <v>35</v>
      </c>
      <c r="C17" s="1" t="s">
        <v>45</v>
      </c>
      <c r="D17" s="1" t="s">
        <v>46</v>
      </c>
      <c r="E17" s="1" t="s">
        <v>46</v>
      </c>
      <c r="F17" s="1" t="str">
        <f>IF(E17="","未回答","記入済み")</f>
        <v>記入済み</v>
      </c>
    </row>
    <row r="18" spans="1:6" ht="68.099999999999994" customHeight="1">
      <c r="A18" s="3" t="s">
        <v>47</v>
      </c>
      <c r="B18" s="3" t="s">
        <v>35</v>
      </c>
      <c r="C18" s="3" t="s">
        <v>48</v>
      </c>
      <c r="D18" s="3" t="s">
        <v>49</v>
      </c>
      <c r="E18" s="3" t="s">
        <v>49</v>
      </c>
      <c r="F18" s="3" t="str">
        <f>IF(E18="","未回答","記入済み")</f>
        <v>記入済み</v>
      </c>
    </row>
    <row r="19" spans="1:6" ht="68.099999999999994" customHeight="1">
      <c r="A19" s="1" t="s">
        <v>50</v>
      </c>
      <c r="B19" s="1" t="s">
        <v>35</v>
      </c>
      <c r="C19" s="1" t="s">
        <v>51</v>
      </c>
      <c r="D19" s="1" t="s">
        <v>52</v>
      </c>
      <c r="E19" s="1" t="s">
        <v>52</v>
      </c>
      <c r="F19" s="1" t="str">
        <f>IF(E19="","未回答","記入済み")</f>
        <v>記入済み</v>
      </c>
    </row>
    <row r="20" spans="1:6" ht="68.099999999999994" customHeight="1">
      <c r="A20" s="3" t="s">
        <v>53</v>
      </c>
      <c r="B20" s="3" t="s">
        <v>35</v>
      </c>
      <c r="C20" s="3" t="s">
        <v>54</v>
      </c>
      <c r="D20" s="3" t="s">
        <v>55</v>
      </c>
      <c r="E20" s="3" t="s">
        <v>55</v>
      </c>
      <c r="F20" s="3" t="str">
        <f>IF(E20="","未回答","記入済み")</f>
        <v>記入済み</v>
      </c>
    </row>
    <row r="21" spans="1:6" ht="68.099999999999994" customHeight="1">
      <c r="A21" s="1" t="s">
        <v>56</v>
      </c>
      <c r="B21" s="1" t="s">
        <v>35</v>
      </c>
      <c r="C21" s="1" t="s">
        <v>57</v>
      </c>
      <c r="D21" s="1" t="s">
        <v>58</v>
      </c>
      <c r="E21" s="1" t="s">
        <v>58</v>
      </c>
      <c r="F21" s="1" t="str">
        <f>IF(E21="","未回答","記入済み")</f>
        <v>記入済み</v>
      </c>
    </row>
    <row r="22" spans="1:6" ht="68.099999999999994" customHeight="1">
      <c r="A22" s="3" t="s">
        <v>59</v>
      </c>
      <c r="B22" s="3" t="s">
        <v>35</v>
      </c>
      <c r="C22" s="3" t="s">
        <v>60</v>
      </c>
      <c r="D22" s="3" t="s">
        <v>61</v>
      </c>
      <c r="E22" s="3" t="s">
        <v>61</v>
      </c>
      <c r="F22" s="3" t="str">
        <f>IF(E22="","未回答","記入済み")</f>
        <v>記入済み</v>
      </c>
    </row>
    <row r="23" spans="1:6" ht="68.099999999999994" customHeight="1">
      <c r="A23" s="1" t="s">
        <v>62</v>
      </c>
      <c r="B23" s="1" t="s">
        <v>63</v>
      </c>
      <c r="C23" s="1" t="s">
        <v>64</v>
      </c>
      <c r="D23" s="1" t="s">
        <v>65</v>
      </c>
      <c r="E23" s="4" t="s">
        <v>66</v>
      </c>
      <c r="F23" s="1" t="str">
        <f>IF(E23="","未回答","記入済み")</f>
        <v>記入済み</v>
      </c>
    </row>
    <row r="24" spans="1:6" ht="68.099999999999994" customHeight="1">
      <c r="A24" s="3" t="s">
        <v>67</v>
      </c>
      <c r="B24" s="3" t="s">
        <v>12</v>
      </c>
      <c r="C24" s="3" t="s">
        <v>68</v>
      </c>
      <c r="D24" s="3" t="s">
        <v>69</v>
      </c>
      <c r="E24" s="4" t="s">
        <v>70</v>
      </c>
      <c r="F24" s="3" t="str">
        <f>IF(E24="","未回答","記入済み")</f>
        <v>記入済み</v>
      </c>
    </row>
    <row r="25" spans="1:6" ht="68.099999999999994" customHeight="1">
      <c r="A25" s="1" t="s">
        <v>71</v>
      </c>
      <c r="B25" s="1" t="s">
        <v>35</v>
      </c>
      <c r="C25" s="1" t="s">
        <v>72</v>
      </c>
      <c r="D25" s="1" t="s">
        <v>73</v>
      </c>
      <c r="E25" s="1" t="s">
        <v>73</v>
      </c>
      <c r="F25" s="1" t="str">
        <f>IF(E25="","未回答","記入済み")</f>
        <v>記入済み</v>
      </c>
    </row>
    <row r="26" spans="1:6" ht="68.099999999999994" customHeight="1">
      <c r="A26" s="3" t="s">
        <v>74</v>
      </c>
      <c r="B26" s="3" t="s">
        <v>35</v>
      </c>
      <c r="C26" s="3" t="s">
        <v>75</v>
      </c>
      <c r="D26" s="3" t="s">
        <v>76</v>
      </c>
      <c r="E26" s="3" t="s">
        <v>76</v>
      </c>
      <c r="F26" s="3" t="str">
        <f>IF(E26="","未回答","記入済み")</f>
        <v>記入済み</v>
      </c>
    </row>
    <row r="27" spans="1:6" ht="68.099999999999994" customHeight="1">
      <c r="A27" s="1" t="s">
        <v>77</v>
      </c>
      <c r="B27" s="1" t="s">
        <v>12</v>
      </c>
      <c r="C27" s="1" t="s">
        <v>78</v>
      </c>
      <c r="D27" s="1" t="s">
        <v>79</v>
      </c>
      <c r="E27" s="4" t="s">
        <v>80</v>
      </c>
      <c r="F27" s="1" t="str">
        <f>IF(E27="","未回答","記入済み")</f>
        <v>記入済み</v>
      </c>
    </row>
    <row r="28" spans="1:6" ht="68.099999999999994" customHeight="1">
      <c r="A28" s="3" t="s">
        <v>81</v>
      </c>
      <c r="B28" s="3" t="s">
        <v>12</v>
      </c>
      <c r="C28" s="3" t="s">
        <v>82</v>
      </c>
      <c r="D28" s="3" t="s">
        <v>83</v>
      </c>
      <c r="E28" s="3" t="s">
        <v>84</v>
      </c>
      <c r="F28" s="3" t="str">
        <f>IF(E28="","未回答","記入済み")</f>
        <v>記入済み</v>
      </c>
    </row>
    <row r="29" spans="1:6" ht="68.099999999999994" customHeight="1">
      <c r="A29" s="1" t="s">
        <v>85</v>
      </c>
      <c r="B29" s="1" t="s">
        <v>12</v>
      </c>
      <c r="C29" s="1" t="s">
        <v>86</v>
      </c>
      <c r="D29" s="1" t="s">
        <v>87</v>
      </c>
      <c r="E29" s="4" t="s">
        <v>88</v>
      </c>
      <c r="F29" s="1" t="str">
        <f>IF(E29="","未回答","記入済み")</f>
        <v>記入済み</v>
      </c>
    </row>
    <row r="30" spans="1:6" ht="68.099999999999994" customHeight="1">
      <c r="A30" s="3" t="s">
        <v>89</v>
      </c>
      <c r="B30" s="3" t="s">
        <v>35</v>
      </c>
      <c r="C30" s="3" t="s">
        <v>90</v>
      </c>
      <c r="D30" s="3" t="s">
        <v>91</v>
      </c>
      <c r="E30" s="4" t="s">
        <v>92</v>
      </c>
      <c r="F30" s="3" t="str">
        <f>IF(E30="","未回答","記入済み")</f>
        <v>記入済み</v>
      </c>
    </row>
    <row r="31" spans="1:6">
      <c r="A31" s="1"/>
      <c r="B31" s="1"/>
      <c r="C31" s="1"/>
      <c r="D31" s="1"/>
      <c r="E31" s="1"/>
      <c r="F31" s="1"/>
    </row>
    <row r="32" spans="1:6" ht="30" customHeight="1">
      <c r="A32" s="8" t="s">
        <v>93</v>
      </c>
      <c r="B32" s="8"/>
      <c r="C32" s="8"/>
      <c r="D32" s="8"/>
      <c r="E32" s="8"/>
      <c r="F32" s="8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5">
    <mergeCell ref="A1:F1"/>
    <mergeCell ref="A2:F2"/>
    <mergeCell ref="A3:F3"/>
    <mergeCell ref="A4:D4"/>
    <mergeCell ref="A32:F32"/>
  </mergeCells>
  <conditionalFormatting sqref="F7:F30">
    <cfRule type="containsText" dxfId="0" priority="1" operator="containsText" text="記入済み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84B"/>
  </sheetPr>
  <dimension ref="A1:F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4.5" customWidth="1"/>
    <col min="2" max="3" width="17.75" customWidth="1"/>
    <col min="4" max="4" width="18.875" customWidth="1"/>
    <col min="5" max="5" width="24.5" customWidth="1"/>
    <col min="6" max="6" width="16.125" customWidth="1"/>
  </cols>
  <sheetData>
    <row r="1" spans="1:6" ht="33.950000000000003" customHeight="1">
      <c r="A1" s="7" t="s">
        <v>94</v>
      </c>
      <c r="B1" s="7"/>
      <c r="C1" s="7"/>
      <c r="D1" s="7"/>
      <c r="E1" s="7"/>
      <c r="F1" s="7"/>
    </row>
    <row r="2" spans="1:6" ht="30" customHeight="1">
      <c r="A2" s="8" t="s">
        <v>95</v>
      </c>
      <c r="B2" s="8"/>
      <c r="C2" s="8"/>
      <c r="D2" s="8"/>
      <c r="E2" s="8"/>
      <c r="F2" s="8"/>
    </row>
    <row r="3" spans="1:6">
      <c r="A3" s="1"/>
      <c r="B3" s="1"/>
      <c r="C3" s="1"/>
      <c r="D3" s="1"/>
      <c r="E3" s="1"/>
      <c r="F3" s="1"/>
    </row>
    <row r="4" spans="1:6">
      <c r="A4" s="1" t="s">
        <v>96</v>
      </c>
      <c r="B4" s="4">
        <v>17</v>
      </c>
      <c r="C4" s="1" t="s">
        <v>97</v>
      </c>
      <c r="D4" s="4">
        <v>375</v>
      </c>
      <c r="E4" s="1"/>
      <c r="F4" s="1"/>
    </row>
    <row r="5" spans="1:6">
      <c r="A5" s="1"/>
      <c r="B5" s="1"/>
      <c r="C5" s="1"/>
      <c r="D5" s="1"/>
      <c r="E5" s="1"/>
      <c r="F5" s="1"/>
    </row>
    <row r="6" spans="1:6" ht="30" customHeight="1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  <c r="F6" s="2"/>
    </row>
    <row r="7" spans="1:6" ht="29.1" customHeight="1">
      <c r="A7" s="5">
        <v>0.1</v>
      </c>
      <c r="B7" s="6">
        <f>$B$4*POWER(A7,1/3)</f>
        <v>7.8907010171417253</v>
      </c>
      <c r="C7" s="6">
        <f>A7*0.2</f>
        <v>2.0000000000000004E-2</v>
      </c>
      <c r="D7" s="6">
        <f>POWER(A7/0.1,1/3)</f>
        <v>1</v>
      </c>
      <c r="E7" s="1" t="s">
        <v>103</v>
      </c>
      <c r="F7" s="1"/>
    </row>
    <row r="8" spans="1:6" ht="29.1" customHeight="1">
      <c r="A8" s="5">
        <v>0.5</v>
      </c>
      <c r="B8" s="6">
        <f>$B$4*POWER(A8,1/3)</f>
        <v>13.492908941729697</v>
      </c>
      <c r="C8" s="6">
        <f>A8*0.2</f>
        <v>0.1</v>
      </c>
      <c r="D8" s="6">
        <f>POWER(A8/0.1,1/3)</f>
        <v>1.7099759466766968</v>
      </c>
      <c r="E8" s="1"/>
      <c r="F8" s="1"/>
    </row>
    <row r="9" spans="1:6" ht="29.1" customHeight="1">
      <c r="A9" s="5">
        <v>1</v>
      </c>
      <c r="B9" s="6">
        <f>$B$4*POWER(A9,1/3)</f>
        <v>17</v>
      </c>
      <c r="C9" s="6">
        <f>A9*0.2</f>
        <v>0.2</v>
      </c>
      <c r="D9" s="6">
        <f>POWER(A9/0.1,1/3)</f>
        <v>2.1544346900318838</v>
      </c>
      <c r="E9" s="1" t="s">
        <v>104</v>
      </c>
      <c r="F9" s="1"/>
    </row>
    <row r="10" spans="1:6" ht="29.1" customHeight="1">
      <c r="A10" s="5">
        <v>3</v>
      </c>
      <c r="B10" s="6">
        <f>$B$4*POWER(A10,1/3)</f>
        <v>24.51824269522594</v>
      </c>
      <c r="C10" s="6">
        <f>A10*0.2</f>
        <v>0.60000000000000009</v>
      </c>
      <c r="D10" s="6">
        <f>POWER(A10/0.1,1/3)</f>
        <v>3.1072325059538586</v>
      </c>
      <c r="E10" s="1" t="s">
        <v>105</v>
      </c>
      <c r="F10" s="1"/>
    </row>
    <row r="11" spans="1:6" ht="29.1" customHeight="1">
      <c r="A11" s="5">
        <v>5</v>
      </c>
      <c r="B11" s="6">
        <f>$B$4*POWER(A11,1/3)</f>
        <v>29.069591093503846</v>
      </c>
      <c r="C11" s="6">
        <f>A11*0.2</f>
        <v>1</v>
      </c>
      <c r="D11" s="6">
        <f>POWER(A11/0.1,1/3)</f>
        <v>3.6840314986403864</v>
      </c>
      <c r="E11" s="1"/>
      <c r="F11" s="1"/>
    </row>
    <row r="12" spans="1:6" ht="29.1" customHeight="1">
      <c r="A12" s="5">
        <v>10</v>
      </c>
      <c r="B12" s="6">
        <f>$B$4*POWER(A12,1/3)</f>
        <v>36.625389730542025</v>
      </c>
      <c r="C12" s="6">
        <f>A12*0.2</f>
        <v>2</v>
      </c>
      <c r="D12" s="6">
        <f>POWER(A12/0.1,1/3)</f>
        <v>4.6415888336127793</v>
      </c>
      <c r="E12" s="1"/>
      <c r="F12" s="1"/>
    </row>
    <row r="13" spans="1:6" ht="29.1" customHeight="1">
      <c r="A13" s="5">
        <v>20</v>
      </c>
      <c r="B13" s="6">
        <f>$B$4*POWER(A13,1/3)</f>
        <v>46.145099482113409</v>
      </c>
      <c r="C13" s="6">
        <f>A13*0.2</f>
        <v>4</v>
      </c>
      <c r="D13" s="6">
        <f>POWER(A13/0.1,1/3)</f>
        <v>5.8480354764257312</v>
      </c>
      <c r="E13" s="1" t="s">
        <v>106</v>
      </c>
      <c r="F13" s="1"/>
    </row>
    <row r="14" spans="1:6">
      <c r="A14" s="1"/>
      <c r="B14" s="1"/>
      <c r="C14" s="1"/>
      <c r="D14" s="1"/>
      <c r="E14" s="1"/>
      <c r="F14" s="1"/>
    </row>
    <row r="15" spans="1:6" ht="30" customHeight="1">
      <c r="A15" s="8" t="s">
        <v>107</v>
      </c>
      <c r="B15" s="8"/>
      <c r="C15" s="8"/>
      <c r="D15" s="8"/>
      <c r="E15" s="8"/>
      <c r="F15" s="8"/>
    </row>
    <row r="16" spans="1:6" ht="30" customHeight="1">
      <c r="A16" s="8" t="s">
        <v>108</v>
      </c>
      <c r="B16" s="8"/>
      <c r="C16" s="8"/>
      <c r="D16" s="8"/>
      <c r="E16" s="8"/>
      <c r="F16" s="8"/>
    </row>
    <row r="17" spans="1:6">
      <c r="A17" s="1"/>
      <c r="B17" s="1"/>
      <c r="C17" s="1"/>
      <c r="D17" s="1"/>
      <c r="E17" s="1"/>
      <c r="F17" s="1"/>
    </row>
    <row r="18" spans="1:6" ht="33.950000000000003" customHeight="1">
      <c r="A18" s="7" t="s">
        <v>109</v>
      </c>
      <c r="B18" s="7"/>
      <c r="C18" s="7"/>
      <c r="D18" s="7"/>
      <c r="E18" s="7"/>
      <c r="F18" s="7"/>
    </row>
    <row r="19" spans="1:6">
      <c r="A19" s="1"/>
      <c r="B19" s="1"/>
      <c r="C19" s="1"/>
      <c r="D19" s="1"/>
      <c r="E19" s="1"/>
      <c r="F19" s="1"/>
    </row>
    <row r="20" spans="1:6" ht="30" customHeight="1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115</v>
      </c>
    </row>
    <row r="21" spans="1:6" ht="29.1" customHeight="1">
      <c r="A21" s="1" t="s">
        <v>116</v>
      </c>
      <c r="B21" s="5">
        <v>0.1</v>
      </c>
      <c r="C21" s="5">
        <v>0.3</v>
      </c>
      <c r="D21" s="5">
        <v>0.49</v>
      </c>
      <c r="E21" s="5">
        <v>60</v>
      </c>
      <c r="F21" s="6">
        <f>E21*0.5</f>
        <v>30</v>
      </c>
    </row>
    <row r="22" spans="1:6" ht="29.1" customHeight="1">
      <c r="A22" s="1" t="s">
        <v>117</v>
      </c>
      <c r="B22" s="5">
        <v>0.5</v>
      </c>
      <c r="C22" s="5">
        <v>1</v>
      </c>
      <c r="D22" s="5">
        <v>1.49</v>
      </c>
      <c r="E22" s="5">
        <v>30</v>
      </c>
      <c r="F22" s="6">
        <f>E22*0.5</f>
        <v>15</v>
      </c>
    </row>
    <row r="23" spans="1:6" ht="29.1" customHeight="1">
      <c r="A23" s="1" t="s">
        <v>118</v>
      </c>
      <c r="B23" s="5">
        <v>1.5</v>
      </c>
      <c r="C23" s="5">
        <v>2.25</v>
      </c>
      <c r="D23" s="5">
        <v>3</v>
      </c>
      <c r="E23" s="5">
        <v>15</v>
      </c>
      <c r="F23" s="6">
        <f>E23*0.5</f>
        <v>7.5</v>
      </c>
    </row>
    <row r="24" spans="1:6" ht="29.1" customHeight="1">
      <c r="A24" s="1" t="s">
        <v>119</v>
      </c>
      <c r="B24" s="5">
        <v>3.01</v>
      </c>
      <c r="C24" s="5">
        <v>4.5</v>
      </c>
      <c r="D24" s="5">
        <v>6</v>
      </c>
      <c r="E24" s="5">
        <v>7.5</v>
      </c>
      <c r="F24" s="6">
        <f>E24*0.5</f>
        <v>3.75</v>
      </c>
    </row>
    <row r="25" spans="1:6" ht="29.1" customHeight="1">
      <c r="A25" s="1" t="s">
        <v>120</v>
      </c>
      <c r="B25" s="5">
        <v>6.01</v>
      </c>
      <c r="C25" s="5">
        <v>9</v>
      </c>
      <c r="D25" s="5">
        <v>12</v>
      </c>
      <c r="E25" s="5">
        <v>4.5</v>
      </c>
      <c r="F25" s="6">
        <f>E25*0.5</f>
        <v>2.25</v>
      </c>
    </row>
    <row r="26" spans="1:6" ht="29.1" customHeight="1">
      <c r="A26" s="1" t="s">
        <v>121</v>
      </c>
      <c r="B26" s="5">
        <v>12.01</v>
      </c>
      <c r="C26" s="5">
        <v>16</v>
      </c>
      <c r="D26" s="5">
        <v>20</v>
      </c>
      <c r="E26" s="5">
        <v>3</v>
      </c>
      <c r="F26" s="6">
        <f>E26*0.5</f>
        <v>1.5</v>
      </c>
    </row>
    <row r="27" spans="1:6">
      <c r="A27" s="1"/>
      <c r="B27" s="1"/>
      <c r="C27" s="1"/>
      <c r="D27" s="1"/>
      <c r="E27" s="1"/>
      <c r="F27" s="1"/>
    </row>
    <row r="28" spans="1:6" ht="30" customHeight="1">
      <c r="A28" s="8" t="s">
        <v>122</v>
      </c>
      <c r="B28" s="8"/>
      <c r="C28" s="8"/>
      <c r="D28" s="8"/>
      <c r="E28" s="8"/>
      <c r="F28" s="8"/>
    </row>
    <row r="29" spans="1:6" ht="30" customHeight="1">
      <c r="A29" s="8" t="s">
        <v>123</v>
      </c>
      <c r="B29" s="8"/>
      <c r="C29" s="8"/>
      <c r="D29" s="8"/>
      <c r="E29" s="8"/>
      <c r="F29" s="8"/>
    </row>
    <row r="30" spans="1:6" ht="30" customHeight="1">
      <c r="A30" s="8" t="s">
        <v>124</v>
      </c>
      <c r="B30" s="8"/>
      <c r="C30" s="8"/>
      <c r="D30" s="8"/>
      <c r="E30" s="8"/>
      <c r="F30" s="8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8">
    <mergeCell ref="A28:F28"/>
    <mergeCell ref="A29:F29"/>
    <mergeCell ref="A30:F30"/>
    <mergeCell ref="A1:F1"/>
    <mergeCell ref="A2:F2"/>
    <mergeCell ref="A15:F15"/>
    <mergeCell ref="A16:F16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正 杉江</cp:lastModifiedBy>
  <cp:revision/>
  <dcterms:created xsi:type="dcterms:W3CDTF">2026-09-20T21:53:18Z</dcterms:created>
  <dcterms:modified xsi:type="dcterms:W3CDTF">2026-09-20T21:53:18Z</dcterms:modified>
  <cp:category/>
  <cp:contentStatus/>
</cp:coreProperties>
</file>