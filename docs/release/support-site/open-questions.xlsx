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決定事項" sheetId="1" state="visible" r:id="rId1"/>
    <sheet xmlns:r="http://schemas.openxmlformats.org/officeDocument/2006/relationships" name="解決済み" sheetId="2" state="visible" r:id="rId2"/>
    <sheet xmlns:r="http://schemas.openxmlformats.org/officeDocument/2006/relationships" name="はたらきろく参考" sheetId="3" state="visible" r:id="rId3"/>
  </sheets>
  <definedNames>
    <definedName name="_xlnm._FilterDatabase" localSheetId="0" hidden="1">'決定事項'!$A$6:$L$47</definedName>
  </definedNames>
  <calcPr calcId="124519" fullCalcOnLoad="1"/>
</workbook>
</file>

<file path=xl/styles.xml><?xml version="1.0" encoding="utf-8"?>
<styleSheet xmlns="http://schemas.openxmlformats.org/spreadsheetml/2006/main">
  <numFmts count="1">
    <numFmt numFmtId="164" formatCode="yyyy-mm-dd h:mm:ss"/>
  </numFmts>
  <fonts count="13">
    <font>
      <name val="Calibri"/>
      <family val="2"/>
      <color theme="1"/>
      <sz val="11"/>
      <scheme val="minor"/>
    </font>
    <font>
      <name val="Meiryo"/>
      <b val="1"/>
      <color rgb="001F3A5F"/>
      <sz val="16"/>
    </font>
    <font>
      <name val="Meiryo"/>
      <color rgb="006B7280"/>
      <sz val="9"/>
    </font>
    <font>
      <name val="Meiryo"/>
      <color rgb="001F2937"/>
      <sz val="9"/>
    </font>
    <font>
      <name val="Meiryo"/>
      <b val="1"/>
      <color rgb="001F3A5F"/>
      <sz val="10"/>
    </font>
    <font>
      <name val="Meiryo"/>
      <b val="1"/>
      <color rgb="001F2937"/>
      <sz val="10"/>
    </font>
    <font>
      <name val="Meiryo"/>
      <color rgb="006B7280"/>
      <sz val="8"/>
    </font>
    <font>
      <name val="Meiryo"/>
      <b val="1"/>
      <color rgb="00FFFFFF"/>
      <sz val="10"/>
    </font>
    <font>
      <name val="Meiryo"/>
      <b val="1"/>
      <color rgb="001F3A5F"/>
      <sz val="9"/>
    </font>
    <font>
      <name val="Meiryo"/>
      <b val="1"/>
      <color rgb="00B91C1C"/>
      <sz val="9"/>
    </font>
    <font>
      <name val="Meiryo"/>
      <i val="1"/>
      <color rgb="006B7280"/>
      <sz val="9"/>
    </font>
    <font>
      <name val="Meiryo"/>
      <color rgb="00B91C1C"/>
      <sz val="9"/>
    </font>
    <font>
      <name val="Meiryo"/>
      <b val="1"/>
      <color rgb="001F3A5F"/>
      <sz val="14"/>
    </font>
  </fonts>
  <fills count="8">
    <fill>
      <patternFill/>
    </fill>
    <fill>
      <patternFill patternType="gray125"/>
    </fill>
    <fill>
      <patternFill patternType="solid">
        <fgColor rgb="00EEF2F7"/>
      </patternFill>
    </fill>
    <fill>
      <patternFill patternType="solid">
        <fgColor rgb="001F3A5F"/>
      </patternFill>
    </fill>
    <fill>
      <patternFill patternType="solid">
        <fgColor rgb="00FFF7CC"/>
      </patternFill>
    </fill>
    <fill>
      <patternFill patternType="solid">
        <fgColor rgb="00FDE8E8"/>
      </patternFill>
    </fill>
    <fill>
      <patternFill patternType="solid">
        <fgColor rgb="00F3F4F6"/>
      </patternFill>
    </fill>
    <fill>
      <patternFill patternType="solid">
        <fgColor rgb="00E8F5E9"/>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0" fillId="2" borderId="0" pivotButton="0" quotePrefix="0" xfId="0"/>
    <xf numFmtId="0" fontId="5" fillId="2" borderId="0" applyAlignment="1" pivotButton="0" quotePrefix="0" xfId="0">
      <alignment horizontal="center"/>
    </xf>
    <xf numFmtId="0" fontId="6" fillId="2" borderId="0" pivotButton="0" quotePrefix="0" xfId="0"/>
    <xf numFmtId="0" fontId="7" fillId="3" borderId="1" applyAlignment="1" pivotButton="0" quotePrefix="0" xfId="0">
      <alignment horizontal="center" vertical="center" wrapText="1"/>
    </xf>
    <xf numFmtId="0" fontId="6" fillId="0" borderId="0" pivotButton="0" quotePrefix="0" xfId="0"/>
    <xf numFmtId="0" fontId="0" fillId="4" borderId="1" pivotButton="0" quotePrefix="0" xfId="0"/>
    <xf numFmtId="0" fontId="10" fillId="6" borderId="1" applyAlignment="1" pivotButton="0" quotePrefix="0" xfId="0">
      <alignment horizontal="center" vertical="top"/>
    </xf>
    <xf numFmtId="0" fontId="10" fillId="6" borderId="1" applyAlignment="1" pivotButton="0" quotePrefix="0" xfId="0">
      <alignment vertical="top" wrapText="1"/>
    </xf>
    <xf numFmtId="0" fontId="10" fillId="6" borderId="1" applyAlignment="1" pivotButton="0" quotePrefix="0" xfId="0">
      <alignment horizontal="center" vertical="top" wrapText="1"/>
    </xf>
    <xf numFmtId="0" fontId="3" fillId="4" borderId="1" applyAlignment="1" pivotButton="0" quotePrefix="0" xfId="0">
      <alignment vertical="top" wrapText="1"/>
    </xf>
    <xf numFmtId="0" fontId="8" fillId="0" borderId="1" applyAlignment="1" pivotButton="0" quotePrefix="0" xfId="0">
      <alignment horizontal="center" vertical="top"/>
    </xf>
    <xf numFmtId="0" fontId="3" fillId="0" borderId="1" applyAlignment="1" pivotButton="0" quotePrefix="0" xfId="0">
      <alignment vertical="top" wrapText="1"/>
    </xf>
    <xf numFmtId="0" fontId="9" fillId="5" borderId="1" applyAlignment="1" pivotButton="0" quotePrefix="0" xfId="0">
      <alignment horizontal="center" vertical="top" wrapText="1"/>
    </xf>
    <xf numFmtId="164" fontId="3" fillId="4" borderId="1" applyAlignment="1" pivotButton="0" quotePrefix="0" xfId="0">
      <alignment vertical="top" wrapText="1"/>
    </xf>
    <xf numFmtId="0" fontId="3" fillId="0" borderId="1" applyAlignment="1" pivotButton="0" quotePrefix="0" xfId="0">
      <alignment horizontal="center" vertical="top" wrapText="1"/>
    </xf>
    <xf numFmtId="0" fontId="11" fillId="0" borderId="0" pivotButton="0" quotePrefix="0" xfId="0"/>
    <xf numFmtId="0" fontId="12" fillId="0" borderId="0" pivotButton="0" quotePrefix="0" xfId="0"/>
    <xf numFmtId="0" fontId="3"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0"/>
  <sheetViews>
    <sheetView showGridLines="0" workbookViewId="0">
      <pane xSplit="2" ySplit="6" topLeftCell="C7" activePane="bottomRight" state="frozen"/>
      <selection pane="topRight"/>
      <selection pane="bottomLeft"/>
      <selection pane="bottomRight" activeCell="A1" sqref="A1"/>
    </sheetView>
  </sheetViews>
  <sheetFormatPr baseColWidth="8" defaultRowHeight="15"/>
  <cols>
    <col width="8" customWidth="1" min="1" max="1"/>
    <col width="20" customWidth="1" min="2" max="2"/>
    <col width="46" customWidth="1" min="3" max="3"/>
    <col width="56" customWidth="1" min="4" max="4"/>
    <col width="30" customWidth="1" min="5" max="5"/>
    <col width="34" customWidth="1" min="6" max="6"/>
    <col width="16" customWidth="1" min="7" max="7"/>
    <col width="34" customWidth="1" min="8" max="8"/>
    <col width="14" customWidth="1" min="9" max="9"/>
    <col width="13" customWidth="1" min="10" max="10"/>
    <col width="12" customWidth="1" min="11" max="11"/>
    <col width="28" customWidth="1" min="12" max="12"/>
  </cols>
  <sheetData>
    <row r="1" ht="24" customHeight="1">
      <c r="A1" s="1" t="inlineStr">
        <is>
          <t>Tamor 公開前 決定事項一覧</t>
        </is>
      </c>
    </row>
    <row r="2">
      <c r="A2" s="2" t="inlineStr">
        <is>
          <t>作成 2026-09-22 ／ 出典 docs/release/support-site/open-questions.md・README.md・verification-and-deploy.md、はたらきろく（hatarakiroku.jp / opt/hatarakiroku）の実装調査</t>
        </is>
      </c>
    </row>
    <row r="3">
      <c r="A3" s="3" t="inlineStr">
        <is>
          <t>記入方法：黄色の H〜L 列（回答・決定者・決定日・状況・備考）にご記入ください。A〜G 列は編集不要です。8行目は書き方の見本なので残したままで構いません。</t>
        </is>
      </c>
    </row>
    <row r="4">
      <c r="A4" s="4" t="inlineStr">
        <is>
          <t>進捗（自動計算）</t>
        </is>
      </c>
      <c r="B4" s="5" t="n"/>
      <c r="C4" s="4" t="inlineStr">
        <is>
          <t>全件数</t>
        </is>
      </c>
      <c r="D4" s="6">
        <f>COUNTA($A$8:$A$128)-1</f>
        <v/>
      </c>
      <c r="E4" s="4" t="inlineStr">
        <is>
          <t>回答済み</t>
        </is>
      </c>
      <c r="F4" s="6">
        <f>COUNTA($H$8:$H$128)-1</f>
        <v/>
      </c>
      <c r="G4" s="4" t="inlineStr">
        <is>
          <t>未回答</t>
        </is>
      </c>
      <c r="H4" s="6">
        <f>D4-F4</f>
        <v/>
      </c>
      <c r="I4" s="5" t="n"/>
      <c r="J4" s="7" t="inlineStr">
        <is>
          <t>※ 見本の行（ID「例」）は件数から除いています</t>
        </is>
      </c>
      <c r="K4" s="5" t="n"/>
      <c r="L4" s="5" t="n"/>
    </row>
    <row r="6" ht="30" customHeight="1">
      <c r="A6" s="8" t="inlineStr">
        <is>
          <t>ID</t>
        </is>
      </c>
      <c r="B6" s="8" t="inlineStr">
        <is>
          <t>区分</t>
        </is>
      </c>
      <c r="C6" s="8" t="inlineStr">
        <is>
          <t>決めること</t>
        </is>
      </c>
      <c r="D6" s="8" t="inlineStr">
        <is>
          <t>決めないとどうなるか / 影響</t>
        </is>
      </c>
      <c r="E6" s="8" t="inlineStr">
        <is>
          <t>反映先</t>
        </is>
      </c>
      <c r="F6" s="8" t="inlineStr">
        <is>
          <t>選択肢・記入例</t>
        </is>
      </c>
      <c r="G6" s="8" t="inlineStr">
        <is>
          <t>優先度</t>
        </is>
      </c>
      <c r="H6" s="8" t="inlineStr">
        <is>
          <t>回答</t>
        </is>
      </c>
      <c r="I6" s="8" t="inlineStr">
        <is>
          <t>決定者</t>
        </is>
      </c>
      <c r="J6" s="8" t="inlineStr">
        <is>
          <t>決定日</t>
        </is>
      </c>
      <c r="K6" s="8" t="inlineStr">
        <is>
          <t>状況</t>
        </is>
      </c>
      <c r="L6" s="8" t="inlineStr">
        <is>
          <t>備考</t>
        </is>
      </c>
    </row>
    <row r="7" ht="14" customHeight="1">
      <c r="A7" s="9" t="inlineStr">
        <is>
          <t>↓ 記入欄はこの色 →</t>
        </is>
      </c>
      <c r="H7" s="10" t="n"/>
      <c r="I7" s="10" t="n"/>
      <c r="J7" s="10" t="n"/>
      <c r="K7" s="10" t="n"/>
      <c r="L7" s="10" t="n"/>
    </row>
    <row r="8" ht="46" customHeight="1">
      <c r="A8" s="11" t="inlineStr">
        <is>
          <t>例</t>
        </is>
      </c>
      <c r="B8" s="12" t="inlineStr">
        <is>
          <t>A. 公開ゲート（これが埋まるまでページは公開されない）</t>
        </is>
      </c>
      <c r="C8" s="12" t="inlineStr">
        <is>
          <t>（記入例）利用規約の施行日</t>
        </is>
      </c>
      <c r="D8" s="12" t="inlineStr">
        <is>
          <t>この行は書き方の見本です。回答するときは削除せず、下の行に記入してください。</t>
        </is>
      </c>
      <c r="E8" s="12" t="inlineStr">
        <is>
          <t>.env: TAMOR_TERMS_EFFECTIVE</t>
        </is>
      </c>
      <c r="F8" s="12" t="inlineStr">
        <is>
          <t>2026-10-01</t>
        </is>
      </c>
      <c r="G8" s="13" t="inlineStr">
        <is>
          <t>必須</t>
        </is>
      </c>
      <c r="H8" s="14" t="inlineStr">
        <is>
          <t>2026-10-01</t>
        </is>
      </c>
      <c r="I8" s="14" t="inlineStr">
        <is>
          <t>杉江 忠</t>
        </is>
      </c>
      <c r="J8" s="14" t="inlineStr">
        <is>
          <t>2026-09-30</t>
        </is>
      </c>
      <c r="K8" s="14" t="inlineStr">
        <is>
          <t>決定済み</t>
        </is>
      </c>
      <c r="L8" s="14" t="inlineStr">
        <is>
          <t>取締役会の承認後に確定</t>
        </is>
      </c>
    </row>
    <row r="9" ht="46" customHeight="1">
      <c r="A9" s="15" t="inlineStr">
        <is>
          <t>A1</t>
        </is>
      </c>
      <c r="B9" s="16" t="inlineStr">
        <is>
          <t>A. 公開ゲート（これが埋まるまでページは公開されない）</t>
        </is>
      </c>
      <c r="C9" s="16" t="inlineStr">
        <is>
          <t>Tamor の契約主体（法人か個人か）と正式名称（日本語）</t>
        </is>
      </c>
      <c r="D9" s="16" t="inlineStr">
        <is>
          <t>未確定のあいだ規約・ポリシーの運営者欄が「確認中」と表示され、ページは公開扱いにならない。</t>
        </is>
      </c>
      <c r="E9" s="16" t="inlineStr">
        <is>
          <t>.env: TAMOR_OPERATOR_NAME</t>
        </is>
      </c>
      <c r="F9" s="16" t="inlineStr">
        <is>
          <t>MarcottLab株式会社 / 個人名・屋号</t>
        </is>
      </c>
      <c r="G9" s="17" t="inlineStr">
        <is>
          <t>必須</t>
        </is>
      </c>
      <c r="H9" s="14" t="inlineStr">
        <is>
          <t>杉江 正（個人。法人ではない）</t>
        </is>
      </c>
      <c r="I9" s="14" t="inlineStr">
        <is>
          <t>杉江 正</t>
        </is>
      </c>
      <c r="J9" s="14" t="inlineStr">
        <is>
          <t>2026-09-22</t>
        </is>
      </c>
      <c r="K9" s="14" t="inlineStr">
        <is>
          <t>決定済み</t>
        </is>
      </c>
      <c r="L9" s="14" t="inlineStr">
        <is>
          <t>MarcottLab株式会社は未登記。姓名のあいだに半角スペースを入れる表記ははたらきろくと同じ。</t>
        </is>
      </c>
    </row>
    <row r="10" ht="46" customHeight="1">
      <c r="A10" s="15" t="inlineStr">
        <is>
          <t>A2</t>
        </is>
      </c>
      <c r="B10" s="16" t="inlineStr">
        <is>
          <t>A. 公開ゲート（これが埋まるまでページは公開されない）</t>
        </is>
      </c>
      <c r="C10" s="16" t="inlineStr">
        <is>
          <t>同上の英文表記</t>
        </is>
      </c>
      <c r="D10" s="16" t="inlineStr">
        <is>
          <t>英語ページの運営者欄。未設定だと公開扱いにならない。</t>
        </is>
      </c>
      <c r="E10" s="16" t="inlineStr">
        <is>
          <t>.env: TAMOR_OPERATOR_NAME_EN</t>
        </is>
      </c>
      <c r="F10" s="16" t="inlineStr">
        <is>
          <t>MarcottLab Inc.</t>
        </is>
      </c>
      <c r="G10" s="17" t="inlineStr">
        <is>
          <t>必須</t>
        </is>
      </c>
      <c r="H10" s="14" t="inlineStr">
        <is>
          <t>Tadashi Sugie</t>
        </is>
      </c>
      <c r="I10" s="14" t="inlineStr">
        <is>
          <t>杉江 正</t>
        </is>
      </c>
      <c r="J10" s="14" t="inlineStr">
        <is>
          <t>2026-09-22</t>
        </is>
      </c>
      <c r="K10" s="14" t="inlineStr">
        <is>
          <t>決定済み</t>
        </is>
      </c>
      <c r="L10" s="14" t="inlineStr">
        <is>
          <t>はたらきろくの英語ページ（hatarakiroku.jp/en/privacy/）と同一表記。</t>
        </is>
      </c>
    </row>
    <row r="11" ht="46" customHeight="1">
      <c r="A11" s="15" t="inlineStr">
        <is>
          <t>A3</t>
        </is>
      </c>
      <c r="B11" s="16" t="inlineStr">
        <is>
          <t>A. 公開ゲート（これが埋まるまでページは公開されない）</t>
        </is>
      </c>
      <c r="C11" s="16" t="inlineStr">
        <is>
          <t>利用規約の施行日</t>
        </is>
      </c>
      <c r="D11" s="16" t="inlineStr">
        <is>
          <t>未設定だと公開扱いにならない。作業日（2026-09-22）ではなく、運営者が本文を承認して公開した日にする。</t>
        </is>
      </c>
      <c r="E11" s="16" t="inlineStr">
        <is>
          <t>.env: TAMOR_TERMS_EFFECTIVE</t>
        </is>
      </c>
      <c r="F11" s="16" t="inlineStr">
        <is>
          <t>2026-10-01</t>
        </is>
      </c>
      <c r="G11" s="17" t="inlineStr">
        <is>
          <t>必須</t>
        </is>
      </c>
      <c r="H11" s="18" t="n">
        <v>46287</v>
      </c>
      <c r="I11" s="14" t="inlineStr"/>
      <c r="J11" s="14" t="inlineStr"/>
      <c r="K11" s="14" t="inlineStr">
        <is>
          <t>確認中</t>
        </is>
      </c>
      <c r="L11" s="14" t="inlineStr">
        <is>
          <t>参考：はたらきろくは日付を固定せず「効力発生日: 本アプリの App Store 配信開始日」と書いている。同じ書き方にするか、日付を固定するかを決める。</t>
        </is>
      </c>
    </row>
    <row r="12" ht="46" customHeight="1">
      <c r="A12" s="15" t="inlineStr">
        <is>
          <t>A4</t>
        </is>
      </c>
      <c r="B12" s="16" t="inlineStr">
        <is>
          <t>A. 公開ゲート（これが埋まるまでページは公開されない）</t>
        </is>
      </c>
      <c r="C12" s="16" t="inlineStr">
        <is>
          <t>プライバシーポリシーの施行日</t>
        </is>
      </c>
      <c r="D12" s="16" t="inlineStr">
        <is>
          <t>同上。規約と別日でもよい。</t>
        </is>
      </c>
      <c r="E12" s="16" t="inlineStr">
        <is>
          <t>.env: TAMOR_PRIVACY_EFFECTIVE</t>
        </is>
      </c>
      <c r="F12" s="16" t="inlineStr">
        <is>
          <t>2026-10-01</t>
        </is>
      </c>
      <c r="G12" s="17" t="inlineStr">
        <is>
          <t>必須</t>
        </is>
      </c>
      <c r="H12" s="18" t="n">
        <v>46287</v>
      </c>
      <c r="I12" s="14" t="inlineStr"/>
      <c r="J12" s="14" t="inlineStr"/>
      <c r="K12" s="14" t="inlineStr">
        <is>
          <t>確認中</t>
        </is>
      </c>
      <c r="L12" s="14" t="inlineStr">
        <is>
          <t>A3 と同じ扱いにするかを決める。</t>
        </is>
      </c>
    </row>
    <row r="13" ht="46" customHeight="1">
      <c r="A13" s="15" t="inlineStr">
        <is>
          <t>A5</t>
        </is>
      </c>
      <c r="B13" s="16" t="inlineStr">
        <is>
          <t>A. 公開ゲート（これが埋まるまでページは公開されない）</t>
        </is>
      </c>
      <c r="C13" s="16" t="inlineStr">
        <is>
          <t>FAQ の更新日</t>
        </is>
      </c>
      <c r="D13" s="16" t="inlineStr">
        <is>
          <t>同上。</t>
        </is>
      </c>
      <c r="E13" s="16" t="inlineStr">
        <is>
          <t>.env: TAMOR_FAQ_UPDATED</t>
        </is>
      </c>
      <c r="F13" s="16" t="inlineStr">
        <is>
          <t>2026-10-01</t>
        </is>
      </c>
      <c r="G13" s="17" t="inlineStr">
        <is>
          <t>必須</t>
        </is>
      </c>
      <c r="H13" s="18" t="n">
        <v>46287</v>
      </c>
      <c r="I13" s="14" t="inlineStr"/>
      <c r="J13" s="14" t="inlineStr"/>
      <c r="K13" s="14" t="inlineStr">
        <is>
          <t>確認中</t>
        </is>
      </c>
      <c r="L13" s="14" t="inlineStr">
        <is>
          <t>FAQ は法的文書ではないため、本文を最終更新した日でよい。</t>
        </is>
      </c>
    </row>
    <row r="14" ht="46" customHeight="1">
      <c r="A14" s="15" t="inlineStr">
        <is>
          <t>A6</t>
        </is>
      </c>
      <c r="B14" s="16" t="inlineStr">
        <is>
          <t>A. 公開ゲート（これが埋まるまでページは公開されない）</t>
        </is>
      </c>
      <c r="C14" s="16" t="inlineStr">
        <is>
          <t>設立登記は完了しているか（A1・A2 の前提）</t>
        </is>
      </c>
      <c r="D14" s="16" t="inlineStr">
        <is>
          <t>サイトは「MarcottLab株式会社」と表示する一方、config/company.php の設立欄は「2026年設立予定」のまま。登記が未了なら Tamor の契約主体は個人（個人事業）になる可能性がある。</t>
        </is>
      </c>
      <c r="E14" s="16" t="inlineStr">
        <is>
          <t>.env: COMPANY_FOUNDED / COMPANY_FOUNDED_EN</t>
        </is>
      </c>
      <c r="F14" s="16" t="inlineStr">
        <is>
          <t>完了（2026-xx-xx 登記） / 未了（個人名義で公開）</t>
        </is>
      </c>
      <c r="G14" s="17" t="inlineStr">
        <is>
          <t>必須</t>
        </is>
      </c>
      <c r="H14" s="14" t="inlineStr">
        <is>
          <t>登記は未了。法人化は永続的な収益の見通しが立つまで保留する。したがって Tamor の契約主体は個人（杉江 正）。</t>
        </is>
      </c>
      <c r="I14" s="14" t="inlineStr">
        <is>
          <t>杉江 正</t>
        </is>
      </c>
      <c r="J14" s="14" t="inlineStr">
        <is>
          <t>2026-09-22</t>
        </is>
      </c>
      <c r="K14" s="14" t="inlineStr">
        <is>
          <t>決定済み</t>
        </is>
      </c>
      <c r="L14" s="14" t="inlineStr">
        <is>
          <t>この結果、config/company.php の設立欄が「2026年設立予定」のままなのは正しい。ただし G1 の論点が残る。</t>
        </is>
      </c>
    </row>
    <row r="15" ht="46" customHeight="1">
      <c r="A15" s="15" t="inlineStr">
        <is>
          <t>A7</t>
        </is>
      </c>
      <c r="B15" s="16" t="inlineStr">
        <is>
          <t>A. 公開ゲート（これが埋まるまでページは公開されない）</t>
        </is>
      </c>
      <c r="C15" s="16" t="inlineStr">
        <is>
          <t>App Store Connect の販売元表示と、規約の運営者表示を一致させる</t>
        </is>
      </c>
      <c r="D15" s="16" t="inlineStr">
        <is>
          <t>規約の運営者名とストアの販売元が食い違うと、審査でも利用者の信頼の面でも問題になる。</t>
        </is>
      </c>
      <c r="E15" s="16" t="inlineStr">
        <is>
          <t>App Store Connect（App情報）</t>
        </is>
      </c>
      <c r="F15" s="16" t="inlineStr">
        <is>
          <t>一致済み / 要変更（変更内容）</t>
        </is>
      </c>
      <c r="G15" s="17" t="inlineStr">
        <is>
          <t>必須</t>
        </is>
      </c>
      <c r="H15" s="14" t="inlineStr">
        <is>
          <t>販売元も個人「杉江 正」に統一する。</t>
        </is>
      </c>
      <c r="I15" s="14" t="inlineStr">
        <is>
          <t>杉江 正</t>
        </is>
      </c>
      <c r="J15" s="14" t="inlineStr">
        <is>
          <t>2026-09-22</t>
        </is>
      </c>
      <c r="K15" s="14" t="inlineStr">
        <is>
          <t>確認中</t>
        </is>
      </c>
      <c r="L15" s="14" t="inlineStr">
        <is>
          <t>方針は決定済み。App Store Connect の現在の販売元表示を確認し、法人名になっていれば個人名へ変更する作業が残る。</t>
        </is>
      </c>
    </row>
    <row r="16" ht="46" customHeight="1">
      <c r="A16" s="15" t="inlineStr">
        <is>
          <t>B1</t>
        </is>
      </c>
      <c r="B16" s="16" t="inlineStr">
        <is>
          <t>B. 本文・法務の判断</t>
        </is>
      </c>
      <c r="C16" s="16" t="inlineStr">
        <is>
          <t>準拠法・専属的合意管轄を規約に入れるか</t>
        </is>
      </c>
      <c r="D16" s="16" t="inlineStr">
        <is>
          <t>未設定のあいだ、規約に準拠法の条項自体が出ない。日本・米国の両方で配信するため、消費者の管轄の扱いに注意が必要。</t>
        </is>
      </c>
      <c r="E16" s="16" t="inlineStr">
        <is>
          <t>.env: TAMOR_GOVERNING_LAW / TAMOR_JURISDICTION / _EN</t>
        </is>
      </c>
      <c r="F16" s="16" t="inlineStr">
        <is>
          <t>入れる（東京地方裁判所 / Tokyo District Court） / 入れない</t>
        </is>
      </c>
      <c r="G16" s="19" t="inlineStr">
        <is>
          <t>公開前</t>
        </is>
      </c>
      <c r="H16" s="14" t="inlineStr">
        <is>
          <t>入れる（東京地方裁判所 / Tokyo District Court）</t>
        </is>
      </c>
      <c r="I16" s="14" t="inlineStr"/>
      <c r="J16" s="14" t="inlineStr"/>
      <c r="K16" s="14" t="inlineStr">
        <is>
          <t>確認中</t>
        </is>
      </c>
      <c r="L16" s="14" t="inlineStr">
        <is>
          <t>参考：はたらきろくは「準拠法および合意管轄については確定していないため、本規約には記載していません」とページ冒頭で明示したうえで記載を見送っている。Tamor も同じ扱いにするか決める。</t>
        </is>
      </c>
    </row>
    <row r="17" ht="46" customHeight="1">
      <c r="A17" s="15" t="inlineStr">
        <is>
          <t>B2</t>
        </is>
      </c>
      <c r="B17" s="16" t="inlineStr">
        <is>
          <t>B. 本文・法務の判断</t>
        </is>
      </c>
      <c r="C17" s="16" t="inlineStr">
        <is>
          <t>運営者の所在地を本文に表示するか</t>
        </is>
      </c>
      <c r="D17" s="16" t="inlineStr">
        <is>
          <t>未設定なら住所欄を出さない。個人が契約主体の場合、自宅住所を公開してよいかの判断が必要。</t>
        </is>
      </c>
      <c r="E17" s="16" t="inlineStr">
        <is>
          <t>.env: TAMOR_OPERATOR_ADDRESS / _EN</t>
        </is>
      </c>
      <c r="F17" s="16" t="inlineStr">
        <is>
          <t>表示する（住所） / 表示しない</t>
        </is>
      </c>
      <c r="G17" s="19" t="inlineStr">
        <is>
          <t>公開前</t>
        </is>
      </c>
      <c r="H17" s="14" t="inlineStr">
        <is>
          <t>東京都八王子市 / Hachioji, Tokyo, Japan</t>
        </is>
      </c>
      <c r="I17" s="14" t="inlineStr"/>
      <c r="J17" s="14" t="inlineStr"/>
      <c r="K17" s="14" t="inlineStr">
        <is>
          <t>確認中</t>
        </is>
      </c>
      <c r="L17" s="14" t="inlineStr">
        <is>
          <t>はたらきろくの実装に合わせた案。個人が契約主体のため住所の全部は公開しない方針。なお、はたらきろく側にも「番地以下を公開する法的必要性（特商法等）の確認」が未完了の項目として残っている。</t>
        </is>
      </c>
    </row>
    <row r="18" ht="46" customHeight="1">
      <c r="A18" s="15" t="inlineStr">
        <is>
          <t>B3</t>
        </is>
      </c>
      <c r="B18" s="16" t="inlineStr">
        <is>
          <t>B. 本文・法務の判断</t>
        </is>
      </c>
      <c r="C18" s="16" t="inlineStr">
        <is>
          <t>サーバーのアクセスログの保存期間</t>
        </is>
      </c>
      <c r="D18" s="16" t="inlineStr">
        <is>
          <t>未設定なら「保存期間は運用設定によります」と書く。実際の logrotate / Laravel の LOG_* 設定を確認してから数値を入れる。</t>
        </is>
      </c>
      <c r="E18" s="16" t="inlineStr">
        <is>
          <t>.env: TAMOR_LOG_RETENTION / _EN</t>
        </is>
      </c>
      <c r="F18" s="16" t="inlineStr">
        <is>
          <t>90日間 / 90 days</t>
        </is>
      </c>
      <c r="G18" s="19" t="inlineStr">
        <is>
          <t>公開前</t>
        </is>
      </c>
      <c r="H18" s="14" t="inlineStr">
        <is>
          <t>保存期間は運用設定によります</t>
        </is>
      </c>
      <c r="I18" s="14" t="inlineStr"/>
      <c r="J18" s="14" t="inlineStr"/>
      <c r="K18" s="14" t="inlineStr"/>
      <c r="L18" s="14" t="inlineStr"/>
    </row>
    <row r="19" ht="46" customHeight="1">
      <c r="A19" s="15" t="inlineStr">
        <is>
          <t>B4</t>
        </is>
      </c>
      <c r="B19" s="16" t="inlineStr">
        <is>
          <t>B. 本文・法務の判断</t>
        </is>
      </c>
      <c r="C19" s="16" t="inlineStr">
        <is>
          <t>さくらのクラウドのリージョン・バックアップ期間を本文に書くか</t>
        </is>
      </c>
      <c r="D19" s="16" t="inlineStr">
        <is>
          <t>未確認のため現在は本文に書いていない。書くなら実設定の確認が必要。</t>
        </is>
      </c>
      <c r="E19" s="16" t="inlineStr">
        <is>
          <t>本文（プライバシーポリシー）</t>
        </is>
      </c>
      <c r="F19" s="16" t="inlineStr">
        <is>
          <t>書かない / 書く（リージョン・期間）</t>
        </is>
      </c>
      <c r="G19" s="19" t="inlineStr">
        <is>
          <t>公開後でも可</t>
        </is>
      </c>
      <c r="H19" s="14" t="inlineStr">
        <is>
          <t xml:space="preserve">書かない </t>
        </is>
      </c>
      <c r="I19" s="14" t="inlineStr"/>
      <c r="J19" s="14" t="inlineStr"/>
      <c r="K19" s="14" t="inlineStr"/>
      <c r="L19" s="14" t="inlineStr"/>
    </row>
    <row r="20" ht="46" customHeight="1">
      <c r="A20" s="15" t="inlineStr">
        <is>
          <t>B5</t>
        </is>
      </c>
      <c r="B20" s="16" t="inlineStr">
        <is>
          <t>B. 本文・法務の判断</t>
        </is>
      </c>
      <c r="C20" s="16" t="inlineStr">
        <is>
          <t>RevenueCat との DPA（データ処理契約）の締結状況</t>
        </is>
      </c>
      <c r="D20" s="16" t="inlineStr">
        <is>
          <t>個人情報保護法上の「外国にある第三者への提供／委託」の記載要否に影響する。本文は「委託・米国で処理」と書いている。</t>
        </is>
      </c>
      <c r="E20" s="16" t="inlineStr">
        <is>
          <t>本文（プライバシーポリシー）</t>
        </is>
      </c>
      <c r="F20" s="16" t="inlineStr">
        <is>
          <t>締結済み / 未締結 / 要確認</t>
        </is>
      </c>
      <c r="G20" s="19" t="inlineStr">
        <is>
          <t>公開前</t>
        </is>
      </c>
      <c r="H20" s="14" t="inlineStr">
        <is>
          <t>締結済み</t>
        </is>
      </c>
      <c r="I20" s="14" t="inlineStr"/>
      <c r="J20" s="14" t="inlineStr"/>
      <c r="K20" s="14" t="inlineStr"/>
      <c r="L20" s="14" t="inlineStr"/>
    </row>
    <row r="21" ht="46" customHeight="1">
      <c r="A21" s="15" t="inlineStr">
        <is>
          <t>B6</t>
        </is>
      </c>
      <c r="B21" s="16" t="inlineStr">
        <is>
          <t>B. 本文・法務の判断</t>
        </is>
      </c>
      <c r="C21" s="16" t="inlineStr">
        <is>
          <t>Cloudflare Turnstile を本番で有効にするか</t>
        </is>
      </c>
      <c r="D21" s="16" t="inlineStr">
        <is>
          <t>本文は設定値に追従する。本番の現在値は false と今回確認済み。true にすると Cloudflare への言及が自動で本文に出る。</t>
        </is>
      </c>
      <c r="E21" s="16" t="inlineStr">
        <is>
          <t>.env: TURNSTILE_ENABLED</t>
        </is>
      </c>
      <c r="F21" s="16" t="inlineStr">
        <is>
          <t>false のまま / true にする</t>
        </is>
      </c>
      <c r="G21" s="19" t="inlineStr">
        <is>
          <t>公開後でも可</t>
        </is>
      </c>
      <c r="H21" s="14" t="inlineStr">
        <is>
          <t>false のまま Cloudflare Turnstileは使わない。</t>
        </is>
      </c>
      <c r="I21" s="14" t="inlineStr"/>
      <c r="J21" s="14" t="inlineStr"/>
      <c r="K21" s="14" t="inlineStr"/>
      <c r="L21" s="14" t="inlineStr"/>
    </row>
    <row r="22" ht="46" customHeight="1">
      <c r="A22" s="15" t="inlineStr">
        <is>
          <t>B7</t>
        </is>
      </c>
      <c r="B22" s="16" t="inlineStr">
        <is>
          <t>B. 本文・法務の判断</t>
        </is>
      </c>
      <c r="C22" s="16" t="inlineStr">
        <is>
          <t>既存の問い合わせ窓口を Tamor のサポートにも使ってよいか</t>
        </is>
      </c>
      <c r="D22" s="16" t="inlineStr">
        <is>
          <t>本文は既存フォーム（/contact・/en/contact）へ誘導している。英語の問い合わせに対応できるかも含めて確認が必要。</t>
        </is>
      </c>
      <c r="E22" s="16" t="inlineStr">
        <is>
          <t>.env: COMPANY_CONTACT_EMAIL（現在 kyuba@marcottlab.com）</t>
        </is>
      </c>
      <c r="F22" s="16" t="inlineStr">
        <is>
          <t>共用する / Tamor 専用アドレスを用意する</t>
        </is>
      </c>
      <c r="G22" s="19" t="inlineStr">
        <is>
          <t>公開前</t>
        </is>
      </c>
      <c r="H22" s="14" t="inlineStr">
        <is>
          <t>tamor@sapp.sakura.ne.jp</t>
        </is>
      </c>
      <c r="I22" s="14" t="inlineStr"/>
      <c r="J22" s="14" t="inlineStr"/>
      <c r="K22" s="14" t="inlineStr">
        <is>
          <t>確認中</t>
        </is>
      </c>
      <c r="L22" s="14" t="inlineStr">
        <is>
          <t>参考：はたらきろくはアプリ専用アドレス hatarakiroku@sapp.sakura.ne.jp を用意し、mailto: リンクのみ（フォームなし）。Tamor は現在 marcottlab.com の問い合わせフォーム（kyuba@marcottlab.com）へ誘導している。個人運営に揃えるなら専用アドレスを検討。</t>
        </is>
      </c>
    </row>
    <row r="23" ht="46" customHeight="1">
      <c r="A23" s="15" t="inlineStr">
        <is>
          <t>B8</t>
        </is>
      </c>
      <c r="B23" s="16" t="inlineStr">
        <is>
          <t>B. 本文・法務の判断</t>
        </is>
      </c>
      <c r="C23" s="16" t="inlineStr">
        <is>
          <t>個人情報保護法上の公表事項（開示等の請求手続き・手数料・苦情窓口）を現在の運用で実施できるか</t>
        </is>
      </c>
      <c r="D23" s="16" t="inlineStr">
        <is>
          <t>実施できない手続きをポリシーに書くことはできない。</t>
        </is>
      </c>
      <c r="E23" s="16" t="inlineStr">
        <is>
          <t>本文（プライバシーポリシー）</t>
        </is>
      </c>
      <c r="F23" s="16" t="inlineStr">
        <is>
          <t>実施可 / 要整備（内容）</t>
        </is>
      </c>
      <c r="G23" s="19" t="inlineStr">
        <is>
          <t>公開前</t>
        </is>
      </c>
      <c r="H23" s="14" t="inlineStr">
        <is>
          <t xml:space="preserve"> 要整備（内容）</t>
        </is>
      </c>
      <c r="I23" s="14" t="inlineStr"/>
      <c r="J23" s="14" t="inlineStr"/>
      <c r="K23" s="14" t="inlineStr"/>
      <c r="L23" s="14" t="inlineStr"/>
    </row>
    <row r="24" ht="46" customHeight="1">
      <c r="A24" s="15" t="inlineStr">
        <is>
          <t>B9</t>
        </is>
      </c>
      <c r="B24" s="16" t="inlineStr">
        <is>
          <t>B. 本文・法務の判断</t>
        </is>
      </c>
      <c r="C24" s="16" t="inlineStr">
        <is>
          <t>Apple 標準EULA のままでよいか（独自EULAを登録しないか）</t>
        </is>
      </c>
      <c r="D24" s="16" t="inlineStr">
        <is>
          <t>提案は「標準EULAを適用し、本利用規約はこれを補う追加条件とする」。方針を変えるなら規約の第2条と App Store Connect の EULA 欄を同時に直す必要がある。</t>
        </is>
      </c>
      <c r="E24" s="16" t="inlineStr">
        <is>
          <t>App Store Connect（EULA欄）</t>
        </is>
      </c>
      <c r="F24" s="16" t="inlineStr">
        <is>
          <t>標準EULAのまま（提案） / 独自EULAを登録</t>
        </is>
      </c>
      <c r="G24" s="19" t="inlineStr">
        <is>
          <t>公開前</t>
        </is>
      </c>
      <c r="H24" s="14" t="inlineStr">
        <is>
          <t>標準EULAのまま</t>
        </is>
      </c>
      <c r="I24" s="14" t="inlineStr"/>
      <c r="J24" s="14" t="inlineStr"/>
      <c r="K24" s="14" t="inlineStr"/>
      <c r="L24" s="14" t="inlineStr"/>
    </row>
    <row r="25" ht="46" customHeight="1">
      <c r="A25" s="15" t="inlineStr">
        <is>
          <t>C1</t>
        </is>
      </c>
      <c r="B25" s="16" t="inlineStr">
        <is>
          <t>C. App Store / TestFlight</t>
        </is>
      </c>
      <c r="C25" s="16" t="inlineStr">
        <is>
          <t>App Store の公開URL</t>
        </is>
      </c>
      <c r="D25" s="16" t="inlineStr">
        <is>
          <t>未設定のあいだ、サポートページに App Store へのリンクを描画しない（未公開を公開済みとして宣伝しないため）。</t>
        </is>
      </c>
      <c r="E25" s="16" t="inlineStr">
        <is>
          <t>.env: TAMOR_APP_STORE_URL</t>
        </is>
      </c>
      <c r="F25" s="16" t="inlineStr">
        <is>
          <t>https://apps.apple.com/jp/app/idXXXXXXXXX</t>
        </is>
      </c>
      <c r="G25" s="19" t="inlineStr">
        <is>
          <t>公開後</t>
        </is>
      </c>
      <c r="H25" s="14" t="inlineStr"/>
      <c r="I25" s="14" t="inlineStr"/>
      <c r="J25" s="14" t="inlineStr"/>
      <c r="K25" s="14" t="inlineStr"/>
      <c r="L25" s="14" t="inlineStr"/>
    </row>
    <row r="26" ht="46" customHeight="1">
      <c r="A26" s="15" t="inlineStr">
        <is>
          <t>C2</t>
        </is>
      </c>
      <c r="B26" s="16" t="inlineStr">
        <is>
          <t>C. App Store / TestFlight</t>
        </is>
      </c>
      <c r="C26" s="16" t="inlineStr">
        <is>
          <t>実購入・復元・キャンセル・オフライン・コード引換の検証</t>
        </is>
      </c>
      <c r="D26" s="16" t="inlineStr">
        <is>
          <t>未検証。課金まわりの不具合は公開後の影響が大きい。</t>
        </is>
      </c>
      <c r="E26" s="16" t="inlineStr">
        <is>
          <t>Tamor 側の検証（verification-1.0.md）</t>
        </is>
      </c>
      <c r="F26" s="16" t="inlineStr">
        <is>
          <t>完了（日付） / 未完了（担当・期日）</t>
        </is>
      </c>
      <c r="G26" s="19" t="inlineStr">
        <is>
          <t>公開前</t>
        </is>
      </c>
      <c r="H26" s="14" t="inlineStr"/>
      <c r="I26" s="14" t="inlineStr"/>
      <c r="J26" s="14" t="inlineStr"/>
      <c r="K26" s="14" t="inlineStr"/>
      <c r="L26" s="14" t="inlineStr"/>
    </row>
    <row r="27" ht="46" customHeight="1">
      <c r="A27" s="15" t="inlineStr">
        <is>
          <t>C3</t>
        </is>
      </c>
      <c r="B27" s="16" t="inlineStr">
        <is>
          <t>C. App Store / TestFlight</t>
        </is>
      </c>
      <c r="C27" s="16" t="inlineStr">
        <is>
          <t>TestFlight のビルド処理完了・外部テスト審査</t>
        </is>
      </c>
      <c r="D27" s="16" t="inlineStr">
        <is>
          <t>2026-09-22 06:16 JST にアップロード成功。Apple 側の処理完了と外部テスト承認は未確認。</t>
        </is>
      </c>
      <c r="E27" s="16" t="inlineStr">
        <is>
          <t>App Store Connect</t>
        </is>
      </c>
      <c r="F27" s="16" t="inlineStr">
        <is>
          <t>承認済み / 審査中 / 未提出</t>
        </is>
      </c>
      <c r="G27" s="19" t="inlineStr">
        <is>
          <t>公開前</t>
        </is>
      </c>
      <c r="H27" s="14" t="inlineStr"/>
      <c r="I27" s="14" t="inlineStr"/>
      <c r="J27" s="14" t="inlineStr"/>
      <c r="K27" s="14" t="inlineStr"/>
      <c r="L27" s="14" t="inlineStr"/>
    </row>
    <row r="28" ht="46" customHeight="1">
      <c r="A28" s="15" t="inlineStr">
        <is>
          <t>C4</t>
        </is>
      </c>
      <c r="B28" s="16" t="inlineStr">
        <is>
          <t>C. App Store / TestFlight</t>
        </is>
      </c>
      <c r="C28" s="16" t="inlineStr">
        <is>
          <t>TestFlight の招待URLを発行してサポートページに載せるか</t>
        </is>
      </c>
      <c r="D28" s="16" t="inlineStr">
        <is>
          <t>未発行。現在サポートページに招待リンクは載せていない。</t>
        </is>
      </c>
      <c r="E28" s="16" t="inlineStr">
        <is>
          <t>本文（FAQ）</t>
        </is>
      </c>
      <c r="F28" s="16" t="inlineStr">
        <is>
          <t>発行して載せる / 載せない</t>
        </is>
      </c>
      <c r="G28" s="19" t="inlineStr">
        <is>
          <t>公開後でも可</t>
        </is>
      </c>
      <c r="H28" s="14" t="inlineStr"/>
      <c r="I28" s="14" t="inlineStr"/>
      <c r="J28" s="14" t="inlineStr"/>
      <c r="K28" s="14" t="inlineStr"/>
      <c r="L28" s="14" t="inlineStr"/>
    </row>
    <row r="29" ht="46" customHeight="1">
      <c r="A29" s="15" t="inlineStr">
        <is>
          <t>C5</t>
        </is>
      </c>
      <c r="B29" s="16" t="inlineStr">
        <is>
          <t>C. App Store / TestFlight</t>
        </is>
      </c>
      <c r="C29" s="16" t="inlineStr">
        <is>
          <t>ベータフィードバック用メール、ベータ審査の連絡先</t>
        </is>
      </c>
      <c r="D29" s="16" t="inlineStr">
        <is>
          <t>未確定。外部テストの提出に必要。</t>
        </is>
      </c>
      <c r="E29" s="16" t="inlineStr">
        <is>
          <t>App Store Connect</t>
        </is>
      </c>
      <c r="F29" s="16" t="inlineStr">
        <is>
          <t>メールアドレス・担当者名・電話番号</t>
        </is>
      </c>
      <c r="G29" s="19" t="inlineStr">
        <is>
          <t>公開前</t>
        </is>
      </c>
      <c r="H29" s="14" t="inlineStr">
        <is>
          <t>載せない</t>
        </is>
      </c>
      <c r="I29" s="14" t="inlineStr"/>
      <c r="J29" s="14" t="inlineStr"/>
      <c r="K29" s="14" t="inlineStr"/>
      <c r="L29" s="14" t="inlineStr"/>
    </row>
    <row r="30" ht="46" customHeight="1">
      <c r="A30" s="15" t="inlineStr">
        <is>
          <t>C6</t>
        </is>
      </c>
      <c r="B30" s="16" t="inlineStr">
        <is>
          <t>C. App Store / TestFlight</t>
        </is>
      </c>
      <c r="C30" s="16" t="inlineStr">
        <is>
          <t>暗号化／輸出コンプライアンスの回答</t>
        </is>
      </c>
      <c r="D30" s="16" t="inlineStr">
        <is>
          <t>未回答。回答しないとビルドを配信できない。</t>
        </is>
      </c>
      <c r="E30" s="16" t="inlineStr">
        <is>
          <t>App Store Connect</t>
        </is>
      </c>
      <c r="F30" s="16" t="inlineStr">
        <is>
          <t>該当なし / 該当あり（ERN 要否）</t>
        </is>
      </c>
      <c r="G30" s="17" t="inlineStr">
        <is>
          <t>必須</t>
        </is>
      </c>
      <c r="H30" s="14" t="inlineStr">
        <is>
          <t>「暗号化を使用しますか」→ はい。「免除に該当しますか」→ はい（通信は HTTPS のみ、独自・非標準の暗号実装なし）。ITSAppUsesNonExemptEncryption=false を project.yml と Config/Info.plist に設定済み。</t>
        </is>
      </c>
      <c r="I30" s="14" t="inlineStr"/>
      <c r="J30" s="14" t="inlineStr"/>
      <c r="K30" s="14" t="inlineStr">
        <is>
          <t>確認中</t>
        </is>
      </c>
      <c r="L30" s="14" t="inlineStr">
        <is>
          <t>実装調査の結果: CryptoKit / CommonCrypto の使用なし、独自の暗号実装なし、通信は RevenueCat SDK 経由の HTTPS のみ、CloudKit はビルドから除外。はたらきろくも同じ宣言（false）で提出済み。※ アップロード済みの build 5 には反映されないため、App Store Connect 上で1回答える必要がある。次のビルドからは質問が出なくなる。最終的な申告は運営者が行うこと。</t>
        </is>
      </c>
    </row>
    <row r="31" ht="46" customHeight="1">
      <c r="A31" s="15" t="inlineStr">
        <is>
          <t>C7</t>
        </is>
      </c>
      <c r="B31" s="16" t="inlineStr">
        <is>
          <t>C. App Store / TestFlight</t>
        </is>
      </c>
      <c r="C31" s="16" t="inlineStr">
        <is>
          <t>App Privacy（Appのプライバシー）の回答内容</t>
        </is>
      </c>
      <c r="D31" s="16" t="inlineStr">
        <is>
          <t>未送信。回答案は data-handling.md の内部レビュー資料にある。</t>
        </is>
      </c>
      <c r="E31" s="16" t="inlineStr">
        <is>
          <t>App Store Connect</t>
        </is>
      </c>
      <c r="F31" s="16" t="inlineStr">
        <is>
          <t>案どおり送信 / 修正のうえ送信（修正点）</t>
        </is>
      </c>
      <c r="G31" s="17" t="inlineStr">
        <is>
          <t>必須</t>
        </is>
      </c>
      <c r="H31" s="14" t="inlineStr">
        <is>
          <t>案どおり送信</t>
        </is>
      </c>
      <c r="I31" s="14" t="inlineStr"/>
      <c r="J31" s="14" t="inlineStr"/>
      <c r="K31" s="14" t="inlineStr"/>
      <c r="L31" s="14" t="inlineStr"/>
    </row>
    <row r="32" ht="46" customHeight="1">
      <c r="A32" s="15" t="inlineStr">
        <is>
          <t>C8</t>
        </is>
      </c>
      <c r="B32" s="16" t="inlineStr">
        <is>
          <t>C. App Store / TestFlight</t>
        </is>
      </c>
      <c r="C32" s="16" t="inlineStr">
        <is>
          <t>アプリ内にプライバシーポリシーへのリンクを追加するか（ガイドライン 5.1.1(i)）</t>
        </is>
      </c>
      <c r="D32" s="16" t="inlineStr">
        <is>
          <t>未実装。URL 確定後、Tamor 側の設定画面へ追加が必要。今回アプリのコードは変更していない。</t>
        </is>
      </c>
      <c r="E32" s="16" t="inlineStr">
        <is>
          <t>Tamor アプリ（設定画面）</t>
        </is>
      </c>
      <c r="F32" s="16" t="inlineStr">
        <is>
          <t>追加する（担当・期日） / 不要と判断（理由）</t>
        </is>
      </c>
      <c r="G32" s="17" t="inlineStr">
        <is>
          <t>必須</t>
        </is>
      </c>
      <c r="H32" s="14" t="inlineStr">
        <is>
          <t>追加する（担当・期日）</t>
        </is>
      </c>
      <c r="I32" s="14" t="inlineStr"/>
      <c r="J32" s="14" t="inlineStr"/>
      <c r="K32" s="14" t="inlineStr"/>
      <c r="L32" s="14" t="inlineStr"/>
    </row>
    <row r="33" ht="46" customHeight="1">
      <c r="A33" s="15" t="inlineStr">
        <is>
          <t>C9</t>
        </is>
      </c>
      <c r="B33" s="16" t="inlineStr">
        <is>
          <t>C. App Store / TestFlight</t>
        </is>
      </c>
      <c r="C33" s="16" t="inlineStr">
        <is>
          <t>米国の実販売価格</t>
        </is>
      </c>
      <c r="D33" s="16" t="inlineStr">
        <is>
          <t>App Store Connect に 1.99 ドルで保存済み。規約には価格を書いていない（ストア表示が正）。</t>
        </is>
      </c>
      <c r="E33" s="16" t="inlineStr">
        <is>
          <t>App Store Connect</t>
        </is>
      </c>
      <c r="F33" s="16" t="inlineStr">
        <is>
          <t>1.99 ドルのまま / 変更（金額）</t>
        </is>
      </c>
      <c r="G33" s="19" t="inlineStr">
        <is>
          <t>公開前</t>
        </is>
      </c>
      <c r="H33" s="14" t="inlineStr">
        <is>
          <t>1.99 ドルのまま / 変更（金額）</t>
        </is>
      </c>
      <c r="I33" s="14" t="inlineStr"/>
      <c r="J33" s="14" t="inlineStr"/>
      <c r="K33" s="14" t="inlineStr"/>
      <c r="L33" s="14" t="inlineStr"/>
    </row>
    <row r="34" ht="46" customHeight="1">
      <c r="A34" s="15" t="inlineStr">
        <is>
          <t>C10</t>
        </is>
      </c>
      <c r="B34" s="16" t="inlineStr">
        <is>
          <t>C. App Store / TestFlight</t>
        </is>
      </c>
      <c r="C34" s="16" t="inlineStr">
        <is>
          <t>CloudKit（iCloud 同期）を将来有効にするか</t>
        </is>
      </c>
      <c r="D34" s="16" t="inlineStr">
        <is>
          <t>現在 Sources/Core/CollectionCloudStore.swift は project.yml の excludes でビルドから除外され、Tamor.entitlements もどのターゲットからも参照されていない。したがって出荷されるアプリは CloudKit を使わず、プライバシーポリシーの「iCloud 同期には対応していません」は実装と一致している。有効にする場合は、ポリシー本文・App Privacy の回答・輸出コンプライアンスの前提をすべて見直す必要がある。</t>
        </is>
      </c>
      <c r="E34" s="16" t="inlineStr">
        <is>
          <t>project.yml / Tamor.entitlements / プライバシーポリシー</t>
        </is>
      </c>
      <c r="F34" s="16" t="inlineStr">
        <is>
          <t>当面は無効のまま / 有効にする（時期）</t>
        </is>
      </c>
      <c r="G34" s="19" t="inlineStr">
        <is>
          <t>公開後でも可</t>
        </is>
      </c>
      <c r="H34" s="14" t="inlineStr"/>
      <c r="I34" s="14" t="inlineStr"/>
      <c r="J34" s="14" t="inlineStr"/>
      <c r="K34" s="14" t="inlineStr"/>
      <c r="L34" s="14" t="inlineStr"/>
    </row>
    <row r="35" ht="46" customHeight="1">
      <c r="A35" s="15" t="inlineStr">
        <is>
          <t>D1</t>
        </is>
      </c>
      <c r="B35" s="16" t="inlineStr">
        <is>
          <t>D. サイト運用</t>
        </is>
      </c>
      <c r="C35" s="16" t="inlineStr">
        <is>
          <t>public/sitemap.xml へ Tamor の8URLを追記するか（公開時）</t>
        </is>
      </c>
      <c r="D35" s="16" t="inlineStr">
        <is>
          <t>未公開URLを sitemap に載せないため現在は未実施。公開と同時に追記する想定。</t>
        </is>
      </c>
      <c r="E35" s="16" t="inlineStr">
        <is>
          <t>public/sitemap.xml</t>
        </is>
      </c>
      <c r="F35" s="16" t="inlineStr">
        <is>
          <t>公開時に追記する / 追記しない</t>
        </is>
      </c>
      <c r="G35" s="19" t="inlineStr">
        <is>
          <t>公開時</t>
        </is>
      </c>
      <c r="H35" s="14" t="inlineStr"/>
      <c r="I35" s="14" t="inlineStr"/>
      <c r="J35" s="14" t="inlineStr"/>
      <c r="K35" s="14" t="inlineStr"/>
      <c r="L35" s="14" t="inlineStr"/>
    </row>
    <row r="36" ht="46" customHeight="1">
      <c r="A36" s="15" t="inlineStr">
        <is>
          <t>D2</t>
        </is>
      </c>
      <c r="B36" s="16" t="inlineStr">
        <is>
          <t>D. サイト運用</t>
        </is>
      </c>
      <c r="C36" s="16" t="inlineStr">
        <is>
          <t>書き出した静的HTMLをリポジトリにコミットする運用でよいか</t>
        </is>
      </c>
      <c r="D36" s="16" t="inlineStr">
        <is>
          <t>現状はコミットする方式（デプロイが git pull だけで済む）。CI でビルドする運用にするなら、デプロイ手順に php artisan tamor:export を組み込み、.gitignore に追加する。</t>
        </is>
      </c>
      <c r="E36" s="16" t="inlineStr">
        <is>
          <t>運用方針</t>
        </is>
      </c>
      <c r="F36" s="16" t="inlineStr">
        <is>
          <t>現状のまま / CI でビルドする</t>
        </is>
      </c>
      <c r="G36" s="19" t="inlineStr">
        <is>
          <t>公開後でも可</t>
        </is>
      </c>
      <c r="H36" s="14" t="inlineStr"/>
      <c r="I36" s="14" t="inlineStr"/>
      <c r="J36" s="14" t="inlineStr"/>
      <c r="K36" s="14" t="inlineStr"/>
      <c r="L36" s="14" t="inlineStr"/>
    </row>
    <row r="37" ht="46" customHeight="1">
      <c r="A37" s="15" t="inlineStr">
        <is>
          <t>D3</t>
        </is>
      </c>
      <c r="B37" s="16" t="inlineStr">
        <is>
          <t>D. サイト運用</t>
        </is>
      </c>
      <c r="C37" s="16" t="inlineStr">
        <is>
          <t>既存テスト ProfilePageTest の2件の失敗を誰がいつ直すか</t>
        </is>
      </c>
      <c r="D37" s="16" t="inlineStr">
        <is>
          <t>今回の変更とは無関係の既存の失敗（lang/ja/profile.php に期待文字列が無い）。放置すると CI が常に赤のまま。</t>
        </is>
      </c>
      <c r="E37" s="16" t="inlineStr">
        <is>
          <t>tests/Feature/ProfilePageTest.php</t>
        </is>
      </c>
      <c r="F37" s="16" t="inlineStr">
        <is>
          <t>担当・期日 / 対応しない（理由）</t>
        </is>
      </c>
      <c r="G37" s="19" t="inlineStr">
        <is>
          <t>公開後でも可</t>
        </is>
      </c>
      <c r="H37" s="14" t="inlineStr"/>
      <c r="I37" s="14" t="inlineStr"/>
      <c r="J37" s="14" t="inlineStr"/>
      <c r="K37" s="14" t="inlineStr"/>
      <c r="L37" s="14" t="inlineStr"/>
    </row>
    <row r="38" ht="46" customHeight="1">
      <c r="A38" s="15" t="inlineStr">
        <is>
          <t>E1</t>
        </is>
      </c>
      <c r="B38" s="16" t="inlineStr">
        <is>
          <t>E. 法的レビュー（専門家確認を推奨）</t>
        </is>
      </c>
      <c r="C38" s="16" t="inlineStr">
        <is>
          <t>免責・責任制限の条項が、日本の消費者契約法および米国の消費者法の下で有効か</t>
        </is>
      </c>
      <c r="D38" s="16" t="inlineStr">
        <is>
          <t>本文は「故意・重大な過失を除く」「強行法規で無効となる部分は適用しない」という留保を入れているが、有効性は保証していない。</t>
        </is>
      </c>
      <c r="E38" s="16" t="inlineStr">
        <is>
          <t>専門家レビュー</t>
        </is>
      </c>
      <c r="F38" s="16" t="inlineStr">
        <is>
          <t>レビュー済み（レビュー者・日付） / 要レビュー</t>
        </is>
      </c>
      <c r="G38" s="19" t="inlineStr">
        <is>
          <t>公開前</t>
        </is>
      </c>
      <c r="H38" s="14" t="inlineStr"/>
      <c r="I38" s="14" t="inlineStr"/>
      <c r="J38" s="14" t="inlineStr"/>
      <c r="K38" s="14" t="inlineStr"/>
      <c r="L38" s="14" t="inlineStr"/>
    </row>
    <row r="39" ht="46" customHeight="1">
      <c r="A39" s="15" t="inlineStr">
        <is>
          <t>E2</t>
        </is>
      </c>
      <c r="B39" s="16" t="inlineStr">
        <is>
          <t>E. 法的レビュー（専門家確認を推奨）</t>
        </is>
      </c>
      <c r="C39" s="16" t="inlineStr">
        <is>
          <t>返金の記載（「一切返金不可」と書かず Apple の返金手続きへ誘導）で足りるか</t>
        </is>
      </c>
      <c r="D39" s="16" t="inlineStr">
        <is>
          <t>同上。</t>
        </is>
      </c>
      <c r="E39" s="16" t="inlineStr">
        <is>
          <t>専門家レビュー</t>
        </is>
      </c>
      <c r="F39" s="16" t="inlineStr">
        <is>
          <t>可 / 要修正（修正内容）</t>
        </is>
      </c>
      <c r="G39" s="19" t="inlineStr">
        <is>
          <t>公開前</t>
        </is>
      </c>
      <c r="H39" s="14" t="inlineStr"/>
      <c r="I39" s="14" t="inlineStr"/>
      <c r="J39" s="14" t="inlineStr"/>
      <c r="K39" s="14" t="inlineStr"/>
      <c r="L39" s="14" t="inlineStr"/>
    </row>
    <row r="40" ht="46" customHeight="1">
      <c r="A40" s="15" t="inlineStr">
        <is>
          <t>E3</t>
        </is>
      </c>
      <c r="B40" s="16" t="inlineStr">
        <is>
          <t>E. 法的レビュー（専門家確認を推奨）</t>
        </is>
      </c>
      <c r="C40" s="16" t="inlineStr">
        <is>
          <t>プライバシーポリシーが日本の個人情報保護法と米国各州法の要求を満たすか</t>
        </is>
      </c>
      <c r="D40" s="16" t="inlineStr">
        <is>
          <t>米国でも配信するため、州法（CCPA 等）の要求も関係する。</t>
        </is>
      </c>
      <c r="E40" s="16" t="inlineStr">
        <is>
          <t>専門家レビュー</t>
        </is>
      </c>
      <c r="F40" s="16" t="inlineStr">
        <is>
          <t>可 / 要修正（修正内容）</t>
        </is>
      </c>
      <c r="G40" s="19" t="inlineStr">
        <is>
          <t>公開前</t>
        </is>
      </c>
      <c r="H40" s="14" t="inlineStr"/>
      <c r="I40" s="14" t="inlineStr"/>
      <c r="J40" s="14" t="inlineStr"/>
      <c r="K40" s="14" t="inlineStr"/>
      <c r="L40" s="14" t="inlineStr"/>
    </row>
    <row r="41" ht="46" customHeight="1">
      <c r="A41" s="15" t="inlineStr">
        <is>
          <t>E4</t>
        </is>
      </c>
      <c r="B41" s="16" t="inlineStr">
        <is>
          <t>E. 法的レビュー（専門家確認を推奨）</t>
        </is>
      </c>
      <c r="C41" s="16" t="inlineStr">
        <is>
          <t>未成年者の利用・課金に関する記載が十分か</t>
        </is>
      </c>
      <c r="D41" s="16" t="inlineStr">
        <is>
          <t>同上。</t>
        </is>
      </c>
      <c r="E41" s="16" t="inlineStr">
        <is>
          <t>専門家レビュー</t>
        </is>
      </c>
      <c r="F41" s="16" t="inlineStr">
        <is>
          <t>可 / 要修正（修正内容）</t>
        </is>
      </c>
      <c r="G41" s="19" t="inlineStr">
        <is>
          <t>公開前</t>
        </is>
      </c>
      <c r="H41" s="14" t="inlineStr"/>
      <c r="I41" s="14" t="inlineStr"/>
      <c r="J41" s="14" t="inlineStr"/>
      <c r="K41" s="14" t="inlineStr"/>
      <c r="L41" s="14" t="inlineStr"/>
    </row>
    <row r="42" ht="46" customHeight="1">
      <c r="A42" s="15" t="inlineStr">
        <is>
          <t>F1</t>
        </is>
      </c>
      <c r="B42" s="16" t="inlineStr">
        <is>
          <t>F. 今回の作業</t>
        </is>
      </c>
      <c r="C42" s="16" t="inlineStr">
        <is>
          <t>Bitbucket の PR（feature/minimal-corporate-site → main）をマージするか</t>
        </is>
      </c>
      <c r="D42" s="16" t="inlineStr">
        <is>
          <t>マージされるまで本番へデプロイできない。デプロイしても本番 .env に TAMOR_* が無いため表示は変わらない（4ページとも noindex の草案のまま）。</t>
        </is>
      </c>
      <c r="E42" s="16" t="inlineStr">
        <is>
          <t>Bitbucket PR</t>
        </is>
      </c>
      <c r="F42" s="16" t="inlineStr">
        <is>
          <t>マージする / 変更を依頼（内容）</t>
        </is>
      </c>
      <c r="G42" s="19" t="inlineStr">
        <is>
          <t>対応中</t>
        </is>
      </c>
      <c r="H42" s="14" t="inlineStr"/>
      <c r="I42" s="14" t="inlineStr"/>
      <c r="J42" s="14" t="inlineStr"/>
      <c r="K42" s="14" t="inlineStr"/>
      <c r="L42" s="14" t="inlineStr"/>
    </row>
    <row r="43" ht="46" customHeight="1">
      <c r="A43" s="15" t="inlineStr">
        <is>
          <t>G1</t>
        </is>
      </c>
      <c r="B43" s="16" t="inlineStr">
        <is>
          <t>G. 個人運営の確定に伴う論点</t>
        </is>
      </c>
      <c r="C43" s="16" t="inlineStr">
        <is>
          <t>未登記のまま会社サイトで「MarcottLab株式会社」と表示し続けてよいか</t>
        </is>
      </c>
      <c r="D43" s="16" t="inlineStr">
        <is>
          <t>A6 で登記が未了と確定した。会社サイトは会社概要・フッター・トップで「MarcottLab株式会社」と表示している。会社でない者が、会社と誤認されるおそれのある文字を商号中に用いることの可否は専門家の確認が必要（会社法7条）。Tamor の規約で運営者を個人と書く一方、同じサイトが法人名を掲げる状態にもなる。</t>
        </is>
      </c>
      <c r="E43" s="16" t="inlineStr">
        <is>
          <t>config/company.php・会社サイト全ページ</t>
        </is>
      </c>
      <c r="F43" s="16" t="inlineStr">
        <is>
          <t>表示を見直す（内容） / このままでよい（根拠）</t>
        </is>
      </c>
      <c r="G43" s="17" t="inlineStr">
        <is>
          <t>必須</t>
        </is>
      </c>
      <c r="H43" s="14" t="inlineStr">
        <is>
          <t>杉江正
この個人で提出する。法人はまだ未登記。</t>
        </is>
      </c>
      <c r="I43" s="14" t="inlineStr"/>
      <c r="J43" s="14" t="inlineStr"/>
      <c r="K43" s="14" t="inlineStr"/>
      <c r="L43" s="14" t="inlineStr">
        <is>
          <t>2026-09-22: 回答（個人で提出・法人は未登記）を受けて、Tamor の4ページのみ個人名義に変更済み。専用レイアウト layouts/tamor.blade.php を新設し、ヘッダー・タイトル・フッターから法人名・本店所在地・代表者名を外した。**会社サイト側（/・/company・/public-notice・/privacy）は未変更**で、未登記のまま「株式会社」と表示している状態は続いている（下記 G5）。</t>
        </is>
      </c>
    </row>
    <row r="44" ht="46" customHeight="1">
      <c r="A44" s="15" t="inlineStr">
        <is>
          <t>G2</t>
        </is>
      </c>
      <c r="B44" s="16" t="inlineStr">
        <is>
          <t>G. 個人運営の確定に伴う論点</t>
        </is>
      </c>
      <c r="C44" s="16" t="inlineStr">
        <is>
          <t>Tamor のサポート／法務ページを marcottlab.com 配下に置いたままでよいか</t>
        </is>
      </c>
      <c r="D44" s="16" t="inlineStr">
        <is>
          <t>運営者が個人（杉江 正）と確定したため、法人名を掲げるサイトに個人運営アプリの法務ページが載る形になる。はたらきろくは独自ドメイン hatarakiroku.jp の静的サイトに分けている。</t>
        </is>
      </c>
      <c r="E44" s="16" t="inlineStr">
        <is>
          <t>公開URL・App Store Connect</t>
        </is>
      </c>
      <c r="F44" s="16" t="inlineStr">
        <is>
          <t>marcottlab.com のまま / 別ドメインに分ける</t>
        </is>
      </c>
      <c r="G44" s="19" t="inlineStr">
        <is>
          <t>公開前</t>
        </is>
      </c>
      <c r="H44" s="14" t="inlineStr"/>
      <c r="I44" s="14" t="inlineStr"/>
      <c r="J44" s="14" t="inlineStr"/>
      <c r="K44" s="14" t="inlineStr"/>
      <c r="L44" s="14" t="inlineStr"/>
    </row>
    <row r="45" ht="46" customHeight="1">
      <c r="A45" s="15" t="inlineStr">
        <is>
          <t>G3</t>
        </is>
      </c>
      <c r="B45" s="16" t="inlineStr">
        <is>
          <t>G. 個人運営の確定に伴う論点</t>
        </is>
      </c>
      <c r="C45" s="16" t="inlineStr">
        <is>
          <t>プライバシーポリシーの方針（一般的な内容とし、目的外の流用をしない旨を明記する）</t>
        </is>
      </c>
      <c r="D45" s="16" t="inlineStr">
        <is>
          <t>2026-09-22 に決定。本文の第5節へ「上記の目的以外には利用しない／他のサービスや別の目的へ流用しない／利用目的を変更する場合は事前に改定して掲載する」を日英で追記済み。</t>
        </is>
      </c>
      <c r="E45" s="16" t="inlineStr">
        <is>
          <t>resources/views/apps/tamor/privacy.blade.php 第5節</t>
        </is>
      </c>
      <c r="F45" s="16" t="inlineStr">
        <is>
          <t>（対応済み）</t>
        </is>
      </c>
      <c r="G45" s="19" t="inlineStr">
        <is>
          <t>対応済み</t>
        </is>
      </c>
      <c r="H45" s="14" t="inlineStr">
        <is>
          <t>一般的な構成とし、取得した個人情報を目的外に流用しない旨を明記する。</t>
        </is>
      </c>
      <c r="I45" s="14" t="inlineStr">
        <is>
          <t>杉江 正</t>
        </is>
      </c>
      <c r="J45" s="14" t="inlineStr">
        <is>
          <t>2026-09-22</t>
        </is>
      </c>
      <c r="K45" s="14" t="inlineStr">
        <is>
          <t>決定済み</t>
        </is>
      </c>
      <c r="L45" s="14" t="inlineStr">
        <is>
          <t>2026-09-22 に本文へ反映済み（日英）。静的HTMLの再書き出しとテストまで完了。</t>
        </is>
      </c>
    </row>
    <row r="46" ht="46" customHeight="1">
      <c r="A46" s="15" t="inlineStr">
        <is>
          <t>G4</t>
        </is>
      </c>
      <c r="B46" s="16" t="inlineStr">
        <is>
          <t>G. 個人運営の確定に伴う論点</t>
        </is>
      </c>
      <c r="C46" s="16" t="inlineStr">
        <is>
          <t>会社サイトの運営表記（config/company.php の商号・設立・住所）を個人運営に合わせて見直すか</t>
        </is>
      </c>
      <c r="D46" s="16" t="inlineStr">
        <is>
          <t>G1 と連動する。Tamor の法務ページは config/tamor.php を独立した情報源にしてあり会社設定を流用していないが、会社サイト側の表記をどうするかは別途の判断が必要。</t>
        </is>
      </c>
      <c r="E46" s="16" t="inlineStr">
        <is>
          <t>.env の COMPANY_* / config/company.php</t>
        </is>
      </c>
      <c r="F46" s="16" t="inlineStr">
        <is>
          <t>見直す（内容） / 現状のまま</t>
        </is>
      </c>
      <c r="G46" s="19" t="inlineStr">
        <is>
          <t>公開前</t>
        </is>
      </c>
      <c r="H46" s="14" t="inlineStr">
        <is>
          <t>見直す。商号・設立・本店所在地・代表者の表記を外し、「杉江 正」個人に統一する。</t>
        </is>
      </c>
      <c r="I46" s="14" t="inlineStr">
        <is>
          <t>杉江 正</t>
        </is>
      </c>
      <c r="J46" s="14" t="inlineStr">
        <is>
          <t>2026-09-22</t>
        </is>
      </c>
      <c r="K46" s="14" t="inlineStr">
        <is>
          <t>決定済み</t>
        </is>
      </c>
      <c r="L46" s="14" t="inlineStr">
        <is>
          <t>G5 と同じ決定。実装は未着手（config/company.php と会社サイトの各ページ）。</t>
        </is>
      </c>
    </row>
    <row r="47" ht="46" customHeight="1">
      <c r="A47" s="15" t="inlineStr">
        <is>
          <t>G5</t>
        </is>
      </c>
      <c r="B47" s="16" t="inlineStr">
        <is>
          <t>G. 個人運営の確定に伴う論点</t>
        </is>
      </c>
      <c r="C47" s="16" t="inlineStr">
        <is>
          <t>会社サイト本体で未登記のまま「株式会社」と表示し続けてよいか（G1 の残り）</t>
        </is>
      </c>
      <c r="D47" s="16" t="inlineStr">
        <is>
          <t>G1 の対応は Tamor の4ページに限定した。会社サイトのトップ・会社概要・電子公告・フッターは「MarcottLab株式会社」「ＭａｒｃｏｔｔＬａｂ株式会社」と表示し、本店所在地（東京都港区北青山）と代表取締役も出している。会社でない者が会社と誤認されるおそれのある文字を商号中に用いることの可否は専門家の確認が必要（会社法7条）。Tamor のページとは独立した判断になる。</t>
        </is>
      </c>
      <c r="E47" s="16" t="inlineStr">
        <is>
          <t>config/company.php・会社サイト全ページ</t>
        </is>
      </c>
      <c r="F47" s="16" t="inlineStr">
        <is>
          <t>表示を見直す（内容） / 登記まで現状維持（根拠）</t>
        </is>
      </c>
      <c r="G47" s="17" t="inlineStr">
        <is>
          <t>必須</t>
        </is>
      </c>
      <c r="H47" s="14" t="inlineStr">
        <is>
          <t>表示しない。登記のめどが立っていないため、会社サイトも「杉江 正」個人で統一する。</t>
        </is>
      </c>
      <c r="I47" s="14" t="inlineStr">
        <is>
          <t>杉江 正</t>
        </is>
      </c>
      <c r="J47" s="14" t="inlineStr">
        <is>
          <t>2026-09-22</t>
        </is>
      </c>
      <c r="K47" s="14" t="inlineStr">
        <is>
          <t>決定済み</t>
        </is>
      </c>
      <c r="L47" s="14" t="inlineStr">
        <is>
          <t>Tamor の4ページは対応済み。**会社サイト本体（/・/company・/public-notice・/privacy と英語版）は未着手。**電子公告ページの扱い（法人前提のページを残すか）も判断が必要。</t>
        </is>
      </c>
    </row>
    <row r="49">
      <c r="C49" s="20" t="inlineStr">
        <is>
          <t>※ 優先度「必須」＝これが決まらないと公開できない項目。A1〜A5 は 5 つすべてが .env に入るまで、ページは noindex の草案表示のままです。</t>
        </is>
      </c>
    </row>
    <row r="50">
      <c r="C50" s="3" t="inlineStr">
        <is>
          <t>※ .env を直したあとは、サイトリポジトリで php artisan tamor:export を実行して public/ 配下の静的HTMLを書き出し直し、その差分をコミット・デプロイしてください。書き出さないかぎり公開ページの表示は変わりません。</t>
        </is>
      </c>
    </row>
  </sheetData>
  <autoFilter ref="A6:L47"/>
  <dataValidations count="1">
    <dataValidation sqref="K9:K47" showDropDown="0" showInputMessage="0" showErrorMessage="0" allowBlank="1" errorTitle="状況" error="未着手 / 確認中 / 決定済み / 保留 / 対象外 のいずれかを選んでください。" type="list">
      <formula1>"未着手,確認中,決定済み,保留,対象外"</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8"/>
  <sheetViews>
    <sheetView showGridLines="0" workbookViewId="0">
      <pane ySplit="4" topLeftCell="A5" activePane="bottomLeft" state="frozen"/>
      <selection pane="bottomLeft" activeCell="A1" sqref="A1"/>
    </sheetView>
  </sheetViews>
  <sheetFormatPr baseColWidth="8" defaultRowHeight="15"/>
  <cols>
    <col width="30" customWidth="1" min="1" max="1"/>
    <col width="52" customWidth="1" min="2" max="2"/>
    <col width="66" customWidth="1" min="3" max="3"/>
    <col width="26" customWidth="1" min="4" max="4"/>
  </cols>
  <sheetData>
    <row r="1">
      <c r="A1" s="21" t="inlineStr">
        <is>
          <t>今回の作業で確認できた事項（記入不要）</t>
        </is>
      </c>
    </row>
    <row r="2">
      <c r="A2" s="2" t="inlineStr">
        <is>
          <t>open-questions.md で「未確認」としていた項目のうち、2026-09-22 の作業で判明したものです。</t>
        </is>
      </c>
    </row>
    <row r="4" ht="22" customHeight="1">
      <c r="A4" s="8" t="inlineStr">
        <is>
          <t>項目</t>
        </is>
      </c>
      <c r="B4" s="8" t="inlineStr">
        <is>
          <t>確認できた内容</t>
        </is>
      </c>
      <c r="C4" s="8" t="inlineStr">
        <is>
          <t>意味・影響</t>
        </is>
      </c>
      <c r="D4" s="8" t="inlineStr">
        <is>
          <t>確認方法</t>
        </is>
      </c>
    </row>
    <row r="5" ht="42" customHeight="1">
      <c r="A5" s="22" t="inlineStr">
        <is>
          <t>本番 Web サーバー</t>
        </is>
      </c>
      <c r="B5" s="22" t="inlineStr">
        <is>
          <t>Apache 2.4.58 (Ubuntu)、mod_php、AllowOverride All</t>
        </is>
      </c>
      <c r="C5" s="22" t="inlineStr">
        <is>
          <t>旧 D1・D4。Apache 確定のため public/.htaccess 方式がそのまま使える。nginx 用の追加作業は不要。</t>
        </is>
      </c>
      <c r="D5" s="22" t="inlineStr">
        <is>
          <t>2026-09-22 SSH で確認</t>
        </is>
      </c>
    </row>
    <row r="6" ht="42" customHeight="1">
      <c r="A6" s="22" t="inlineStr">
        <is>
          <t>本番ホスト</t>
        </is>
      </c>
      <c r="B6" s="22" t="inlineStr">
        <is>
          <t>kaoru = 153.127.218.156（marcottlab.com の A レコードと一致）</t>
        </is>
      </c>
      <c r="C6" s="22" t="inlineStr">
        <is>
          <t>SSH config の kaoru / practice エントリ。ユーザー ubuntu、sudo 可。</t>
        </is>
      </c>
      <c r="D6" s="22" t="inlineStr">
        <is>
          <t>2026-09-22 SSH で確認</t>
        </is>
      </c>
    </row>
    <row r="7" ht="42" customHeight="1">
      <c r="A7" s="22" t="inlineStr">
        <is>
          <t>DocumentRoot</t>
        </is>
      </c>
      <c r="B7" s="22" t="inlineStr">
        <is>
          <t>/var/apps/marcottlab-site/public</t>
        </is>
      </c>
      <c r="C7" s="22" t="inlineStr">
        <is>
          <t>vhost marcottlab.com-le-ssl.conf。AllowOverride All のため .htaccess が有効。</t>
        </is>
      </c>
      <c r="D7" s="22" t="inlineStr">
        <is>
          <t>2026-09-22 vhost を確認</t>
        </is>
      </c>
    </row>
    <row r="8" ht="42" customHeight="1">
      <c r="A8" s="22" t="inlineStr">
        <is>
          <t>PHP</t>
        </is>
      </c>
      <c r="B8" s="22" t="inlineStr">
        <is>
          <t>8.3.6（mod_php、opcache validate_timestamps=On）</t>
        </is>
      </c>
      <c r="C8" s="22" t="inlineStr">
        <is>
          <t>ファイル更新は自動で反映される。念のため apache2 reload を手順に含める。</t>
        </is>
      </c>
      <c r="D8" s="22" t="inlineStr">
        <is>
          <t>2026-09-22 SSH で確認</t>
        </is>
      </c>
    </row>
    <row r="9" ht="42" customHeight="1">
      <c r="A9" s="22" t="inlineStr">
        <is>
          <t>デプロイ方法</t>
        </is>
      </c>
      <c r="B9" s="22" t="inlineStr">
        <is>
          <t>git。origin/main を www-data が pull（sudo -u www-data git pull）</t>
        </is>
      </c>
      <c r="C9" s="22" t="inlineStr">
        <is>
          <t>デプロイ済みコミットは 1f349af、作業ツリーはクリーン。www-data の Bitbucket 鍵は /var/www/.ssh にあり疎通確認済み。</t>
        </is>
      </c>
      <c r="D9" s="22" t="inlineStr">
        <is>
          <t>2026-09-22 SSH で確認</t>
        </is>
      </c>
    </row>
    <row r="10" ht="42" customHeight="1">
      <c r="A10" s="22" t="inlineStr">
        <is>
          <t>キャッシュ</t>
        </is>
      </c>
      <c r="B10" s="22" t="inlineStr">
        <is>
          <t>config.php と routes-v7.php を使用中</t>
        </is>
      </c>
      <c r="C10" s="22" t="inlineStr">
        <is>
          <t>デプロイ後に config:cache と route:cache の作り直しが必須。作り直さないと新ルートが効かない。</t>
        </is>
      </c>
      <c r="D10" s="22" t="inlineStr">
        <is>
          <t>2026-09-22 SSH で確認</t>
        </is>
      </c>
    </row>
    <row r="11" ht="42" customHeight="1">
      <c r="A11" s="22" t="inlineStr">
        <is>
          <t>本番 TURNSTILE_ENABLED</t>
        </is>
      </c>
      <c r="B11" s="22" t="inlineStr">
        <is>
          <t>false</t>
        </is>
      </c>
      <c r="C11" s="22" t="inlineStr">
        <is>
          <t>旧 B6 の「本番の現在値は未確認」を解消。有効化するかどうかの判断は B6 に残している。</t>
        </is>
      </c>
      <c r="D11" s="22" t="inlineStr">
        <is>
          <t>2026-09-22 本番 .env を確認</t>
        </is>
      </c>
    </row>
    <row r="12" ht="42" customHeight="1">
      <c r="A12" s="22" t="inlineStr">
        <is>
          <t>本番 .env の TAMOR_*</t>
        </is>
      </c>
      <c r="B12" s="22" t="inlineStr">
        <is>
          <t>未設定（0件）</t>
        </is>
      </c>
      <c r="C12" s="22" t="inlineStr">
        <is>
          <t>このためデプロイしても利用者に見える変化はない。4ページとも noindex ＋草案バナー、会社サイト側の導線も出ない。</t>
        </is>
      </c>
      <c r="D12" s="22" t="inlineStr">
        <is>
          <t>2026-09-22 本番 .env を確認</t>
        </is>
      </c>
    </row>
    <row r="13" ht="42" customHeight="1">
      <c r="A13" s="22" t="inlineStr">
        <is>
          <t>問い合わせアドレスの受信確認</t>
        </is>
      </c>
      <c r="B13" s="22" t="inlineStr">
        <is>
          <t>tamor@sapp.sakura.ne.jp に ringosugie@hotmail.com から送信し、到達を確認</t>
        </is>
      </c>
      <c r="C13" s="22" t="inlineStr">
        <is>
          <t>B7 の残作業を解消。公開前に必要だった確認が完了している。</t>
        </is>
      </c>
      <c r="D13" s="22" t="inlineStr">
        <is>
          <t>2026-09-22 利用者が実施</t>
        </is>
      </c>
    </row>
    <row r="14" ht="42" customHeight="1">
      <c r="A14" s="22" t="inlineStr">
        <is>
          <t>Tamor ページの名義</t>
        </is>
      </c>
      <c r="B14" s="22" t="inlineStr">
        <is>
          <t>個人（杉江 正 / Tadashi Sugie）。専用レイアウト layouts/tamor.blade.php を使用</t>
        </is>
      </c>
      <c r="C14" s="22" t="inlineStr">
        <is>
          <t>G1 の決定を反映済み。4ページのヘッダー・タイトル・フッターから法人名・本店所在地・代表者名を除去し、テストで法人表示が混入しないことを検証している。会社サイト側は未変更（G5）。</t>
        </is>
      </c>
      <c r="D14" s="22" t="inlineStr">
        <is>
          <t>2026-09-22 レイアウトを新設し書き出し済み</t>
        </is>
      </c>
    </row>
    <row r="15" ht="42" customHeight="1">
      <c r="A15" s="22" t="inlineStr">
        <is>
          <t>Tamor の問い合わせ窓口</t>
        </is>
      </c>
      <c r="B15" s="22" t="inlineStr">
        <is>
          <t>tamor@sapp.sakura.ne.jp（mailto: リンク）。会社サイトの問い合わせフォームは使わない</t>
        </is>
      </c>
      <c r="C15" s="22" t="inlineStr">
        <is>
          <t>B7 の決定を本文へ反映済み。config/tamor.php の contact_email が単一の情報源で、.env の TAMOR_CONTACT_EMAIL で上書きできる。受信テストは未実施。</t>
        </is>
      </c>
      <c r="D15" s="22" t="inlineStr">
        <is>
          <t>2026-09-22 本文を変更し書き出し済み</t>
        </is>
      </c>
    </row>
    <row r="16" ht="42" customHeight="1">
      <c r="A16" s="22" t="inlineStr">
        <is>
          <t>暗号の使用状況（Tamor アプリ）</t>
        </is>
      </c>
      <c r="B16" s="22" t="inlineStr">
        <is>
          <t>独自の暗号実装なし。CryptoKit / CommonCrypto の使用なし。通信は RevenueCat SDK 経由の HTTPS のみ</t>
        </is>
      </c>
      <c r="C16" s="22" t="inlineStr">
        <is>
          <t>C6（輸出コンプライアンス）の回答根拠。ITSAppUsesNonExemptEncryption=false を project.yml と Config/Info.plist に設定済み（次のビルドから有効）。</t>
        </is>
      </c>
      <c r="D16" s="22" t="inlineStr">
        <is>
          <t>2026-09-22 Tamor のソースを全文検索</t>
        </is>
      </c>
    </row>
    <row r="17" ht="42" customHeight="1">
      <c r="A17" s="22" t="inlineStr">
        <is>
          <t>CloudKit の扱い</t>
        </is>
      </c>
      <c r="B17" s="22" t="inlineStr">
        <is>
          <t>CollectionCloudStore.swift は project.yml の excludes でビルド対象外。Tamor.entitlements はどのターゲットからも参照されていない</t>
        </is>
      </c>
      <c r="C17" s="22" t="inlineStr">
        <is>
          <t>出荷アプリは CloudKit を使わない。プライバシーポリシーの「iCloud 同期には対応していません」は実装と一致する。将来有効にする場合は C10 を参照。</t>
        </is>
      </c>
      <c r="D17" s="22" t="inlineStr">
        <is>
          <t>2026-09-22 project.yml と entitlements を確認</t>
        </is>
      </c>
    </row>
    <row r="18" ht="42" customHeight="1">
      <c r="A18" s="22" t="inlineStr">
        <is>
          <t>Apache での動作検証</t>
        </is>
      </c>
      <c r="B18" s="22" t="inlineStr">
        <is>
          <t>使い捨ての php:8.4-apache コンテナで全URLの応答を実測</t>
        </is>
      </c>
      <c r="C18" s="22" t="inlineStr">
        <is>
          <t>既存URL（/ /en /company /privacy /contact 等）はすべて従来どおり。Tamor の8ページは PHP を通さず静的配信。コンテナは削除済み。</t>
        </is>
      </c>
      <c r="D18" s="22" t="inlineStr">
        <is>
          <t>2026-09-22 ローカルで実測</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6"/>
  <sheetViews>
    <sheetView showGridLines="0" workbookViewId="0">
      <pane ySplit="4" topLeftCell="A5" activePane="bottomLeft" state="frozen"/>
      <selection pane="bottomLeft" activeCell="A1" sqref="A1"/>
    </sheetView>
  </sheetViews>
  <sheetFormatPr baseColWidth="8" defaultRowHeight="15"/>
  <cols>
    <col width="26" customWidth="1" min="1" max="1"/>
    <col width="54" customWidth="1" min="2" max="2"/>
    <col width="40" customWidth="1" min="3" max="3"/>
    <col width="40" customWidth="1" min="4" max="4"/>
  </cols>
  <sheetData>
    <row r="1">
      <c r="A1" s="21" t="inlineStr">
        <is>
          <t>はたらきろく（hatarakiroku.jp）の確定値・方針（参考。記入不要）</t>
        </is>
      </c>
    </row>
    <row r="2">
      <c r="A2" s="2" t="inlineStr">
        <is>
          <t>同じ運営者による先行アプリ。2026-08-13 に運営者情報を確定し公開済み。ローカルは /c/Users/ringo/opt/hatarakiroku、公開サイトは https://hatarakiroku.jp/ 。</t>
        </is>
      </c>
    </row>
    <row r="4" ht="22" customHeight="1">
      <c r="A4" s="8" t="inlineStr">
        <is>
          <t>項目</t>
        </is>
      </c>
      <c r="B4" s="8" t="inlineStr">
        <is>
          <t>はたらきろくでの値・方針</t>
        </is>
      </c>
      <c r="C4" s="8" t="inlineStr">
        <is>
          <t>Tamor での扱い</t>
        </is>
      </c>
      <c r="D4" s="8" t="inlineStr">
        <is>
          <t>出典</t>
        </is>
      </c>
    </row>
    <row r="5" ht="40" customHeight="1">
      <c r="A5" s="16" t="inlineStr">
        <is>
          <t>運営者名（日本語）</t>
        </is>
      </c>
      <c r="B5" s="16" t="inlineStr">
        <is>
          <t>杉江 正</t>
        </is>
      </c>
      <c r="C5" s="16" t="inlineStr">
        <is>
          <t>A1 で採用</t>
        </is>
      </c>
      <c r="D5" s="16" t="inlineStr">
        <is>
          <t>web/README.md、/ja/privacy/ 第16条</t>
        </is>
      </c>
    </row>
    <row r="6" ht="40" customHeight="1">
      <c r="A6" s="16" t="inlineStr">
        <is>
          <t>運営者名（英語）</t>
        </is>
      </c>
      <c r="B6" s="16" t="inlineStr">
        <is>
          <t>Tadashi Sugie</t>
        </is>
      </c>
      <c r="C6" s="16" t="inlineStr">
        <is>
          <t>A2 で採用</t>
        </is>
      </c>
      <c r="D6" s="16" t="inlineStr">
        <is>
          <t>/en/privacy/ §16</t>
        </is>
      </c>
    </row>
    <row r="7" ht="40" customHeight="1">
      <c r="A7" s="16" t="inlineStr">
        <is>
          <t>運営形態</t>
        </is>
      </c>
      <c r="B7" s="16" t="inlineStr">
        <is>
          <t>個人（法人ではない）。本文に「本アプリは個人が開発・運営しています」と明記</t>
        </is>
      </c>
      <c r="C7" s="16" t="inlineStr">
        <is>
          <t>Tamor も同じ書き方にするか要確認</t>
        </is>
      </c>
      <c r="D7" s="16" t="inlineStr">
        <is>
          <t>/ja/privacy/ 第16条</t>
        </is>
      </c>
    </row>
    <row r="8" ht="40" customHeight="1">
      <c r="A8" s="16" t="inlineStr">
        <is>
          <t>公開所在地</t>
        </is>
      </c>
      <c r="B8" s="16" t="inlineStr">
        <is>
          <t>東京都八王子市 / Hachioji, Tokyo, Japan（市まで。番地・建物名は非公開）</t>
        </is>
      </c>
      <c r="C8" s="16" t="inlineStr">
        <is>
          <t>B2 の案</t>
        </is>
      </c>
      <c r="D8" s="16" t="inlineStr">
        <is>
          <t>/ja/privacy/ 第16条、docs/public-site-open-items.md</t>
        </is>
      </c>
    </row>
    <row r="9" ht="40" customHeight="1">
      <c r="A9" s="16" t="inlineStr">
        <is>
          <t>問い合わせ先</t>
        </is>
      </c>
      <c r="B9" s="16" t="inlineStr">
        <is>
          <t>hatarakiroku@sapp.sakura.ne.jp（アプリ専用アドレス。mailto: のみでフォームなし）</t>
        </is>
      </c>
      <c r="C9" s="16" t="inlineStr">
        <is>
          <t>B7 の参考</t>
        </is>
      </c>
      <c r="D9" s="16" t="inlineStr">
        <is>
          <t>/ja/privacy/ 第16条、/ja/support/</t>
        </is>
      </c>
    </row>
    <row r="10" ht="40" customHeight="1">
      <c r="A10" s="16" t="inlineStr">
        <is>
          <t>効力発生日の書き方</t>
        </is>
      </c>
      <c r="B10" s="16" t="inlineStr">
        <is>
          <t>日付を固定せず「効力発生日: 本アプリの App Store 配信開始日」と記載</t>
        </is>
      </c>
      <c r="C10" s="16" t="inlineStr">
        <is>
          <t>A3・A4 の参考</t>
        </is>
      </c>
      <c r="D10" s="16" t="inlineStr">
        <is>
          <t>/ja/terms/、/ja/privacy/ 冒頭</t>
        </is>
      </c>
    </row>
    <row r="11" ht="40" customHeight="1">
      <c r="A11" s="16" t="inlineStr">
        <is>
          <t>最終更新日</t>
        </is>
      </c>
      <c r="B11" s="16" t="inlineStr">
        <is>
          <t>「最終更新日: 2026年9月6日」を各ページ冒頭に明記</t>
        </is>
      </c>
      <c r="C11" s="16" t="inlineStr">
        <is>
          <t>Tamor も A5 で更新日を出す</t>
        </is>
      </c>
      <c r="D11" s="16" t="inlineStr">
        <is>
          <t>/ja/privacy/ 冒頭</t>
        </is>
      </c>
    </row>
    <row r="12" ht="40" customHeight="1">
      <c r="A12" s="16" t="inlineStr">
        <is>
          <t>準拠法・合意管轄</t>
        </is>
      </c>
      <c r="B12" s="16" t="inlineStr">
        <is>
          <t>未確定のため記載しない。ページ冒頭に「確定していないため記載していません」と明示</t>
        </is>
      </c>
      <c r="C12" s="16" t="inlineStr">
        <is>
          <t>B1 の参考</t>
        </is>
      </c>
      <c r="D12" s="16" t="inlineStr">
        <is>
          <t>/ja/terms/「本規約の状態」、docs/public-site-open-items.md 3-1・3-2</t>
        </is>
      </c>
    </row>
    <row r="13" ht="40" customHeight="1">
      <c r="A13" s="16" t="inlineStr">
        <is>
          <t>未確定事項の扱い</t>
        </is>
      </c>
      <c r="B13" s="16" t="inlineStr">
        <is>
          <t>docs/public-site-open-items.md に一覧化し、推測で埋めない</t>
        </is>
      </c>
      <c r="C13" s="16" t="inlineStr">
        <is>
          <t>本ファイルと同じ方針</t>
        </is>
      </c>
      <c r="D13" s="16" t="inlineStr">
        <is>
          <t>docs/public-site-open-items.md</t>
        </is>
      </c>
    </row>
    <row r="14" ht="40" customHeight="1">
      <c r="A14" s="16" t="inlineStr">
        <is>
          <t>配信方式</t>
        </is>
      </c>
      <c r="B14" s="16" t="inlineStr">
        <is>
          <t>完全な静的サイト。JavaScript・外部リクエスト・Cookie・トラッキングをいずれも使わない</t>
        </is>
      </c>
      <c r="C14" s="16" t="inlineStr">
        <is>
          <t>Tamor も静的HTMLだが、Bootstrap を CDN から読み込む点が異なる</t>
        </is>
      </c>
      <c r="D14" s="16" t="inlineStr">
        <is>
          <t>web/README.md</t>
        </is>
      </c>
    </row>
    <row r="15" ht="40" customHeight="1">
      <c r="A15" s="16" t="inlineStr">
        <is>
          <t>ホスティング</t>
        </is>
      </c>
      <c r="B15" s="16" t="inlineStr">
        <is>
          <t>さくらのオブジェクトストレージ（バケット hatarakiroku-web）＋ウェブアクセラレータ。aws s3 sync で手動デプロイ</t>
        </is>
      </c>
      <c r="C15" s="16" t="inlineStr">
        <is>
          <t>Tamor は marcottlab.com の Apache（/var/apps/marcottlab-site/public）</t>
        </is>
      </c>
      <c r="D15" s="16" t="inlineStr">
        <is>
          <t>web/README.md、docs/web-publishing.md</t>
        </is>
      </c>
    </row>
    <row r="16" ht="40" customHeight="1">
      <c r="A16" s="16" t="inlineStr">
        <is>
          <t>URL 構造</t>
        </is>
      </c>
      <c r="B16" s="16" t="inlineStr">
        <is>
          <t>/ja/privacy/ のようなディレクトリURL（index.html をインデックスドキュメントに設定）</t>
        </is>
      </c>
      <c r="C16" s="16" t="inlineStr">
        <is>
          <t>Tamor は /apps/tamor/privacy.html。DirectoryIndex 設定に依存させないための違い</t>
        </is>
      </c>
      <c r="D16" s="16" t="inlineStr">
        <is>
          <t>web/README.md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2026-09-22T06:12:42Z</dcterms:created>
  <dcterms:modified xmlns:dcterms="http://purl.org/dc/terms/" xmlns:xsi="http://www.w3.org/2001/XMLSchema-instance" xsi:type="dcterms:W3CDTF">2026-09-22T06:12:42Z</dcterms:modified>
</cp:coreProperties>
</file>